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le_j\Desktop\Documents\"/>
    </mc:Choice>
  </mc:AlternateContent>
  <workbookProtection workbookPassword="85BF" lockStructure="1"/>
  <bookViews>
    <workbookView xWindow="0" yWindow="0" windowWidth="28800" windowHeight="12435"/>
  </bookViews>
  <sheets>
    <sheet name="Start" sheetId="15" r:id="rId1"/>
    <sheet name="Award" sheetId="10" r:id="rId2"/>
    <sheet name="Cert" sheetId="9" r:id="rId3"/>
    <sheet name="Ext Cert" sheetId="6" r:id="rId4"/>
    <sheet name="Diploma" sheetId="1" r:id="rId5"/>
    <sheet name="Award Data Sheet" sheetId="13" state="hidden" r:id="rId6"/>
    <sheet name="Award Dropdown" sheetId="14" state="hidden" r:id="rId7"/>
    <sheet name="Cert Data Sheet" sheetId="11" state="hidden" r:id="rId8"/>
    <sheet name="Cert Dropdown" sheetId="12" state="hidden" r:id="rId9"/>
    <sheet name="Diploma Data Sheet" sheetId="2" state="hidden" r:id="rId10"/>
    <sheet name="Diploma Dropdown" sheetId="3" state="hidden" r:id="rId11"/>
    <sheet name="Ext Cert Data Sheet" sheetId="7" state="hidden" r:id="rId12"/>
    <sheet name="Ext Cert Dropdown" sheetId="8" state="hidden" r:id="rId13"/>
    <sheet name="Sectors" sheetId="4" state="hidden" r:id="rId14"/>
    <sheet name="Points" sheetId="5" state="hidden" r:id="rId15"/>
  </sheets>
  <definedNames>
    <definedName name="Applied_Science_D_col_Group_A">'Diploma Dropdown'!$B:$B</definedName>
    <definedName name="Applied_Science_D_units_Group_A">'Diploma Dropdown'!$C$2:$C$17</definedName>
    <definedName name="Applied_Science_EC_col_Group_A">'Ext Cert Dropdown'!$B:$B</definedName>
    <definedName name="Applied_Science_EC_units_Group_A">'Ext Cert Dropdown'!$C$2:$C$17</definedName>
    <definedName name="Art_and_Design_A_col_Group_A">'Award Dropdown'!$B:$B</definedName>
    <definedName name="Art_and_Design_A_units_Group_A">'Award Dropdown'!$C$2:$C$5</definedName>
    <definedName name="Art_and_Design_C_col_Group_A">'Cert Dropdown'!$B:$B</definedName>
    <definedName name="Art_and_Design_C_units_Group_A">'Cert Dropdown'!$C$2:$C$12</definedName>
    <definedName name="Art_and_Design_D_col_Group_A">'Diploma Dropdown'!$F:$F</definedName>
    <definedName name="Art_and_Design_D_units_Group_A">'Diploma Dropdown'!$G$2:$G$34</definedName>
    <definedName name="Art_and_Design_Design_Crafts_C_col_Group_A">'Cert Dropdown'!$F:$F</definedName>
    <definedName name="Art_and_Design_Design_Crafts_C_units_Group_A">'Cert Dropdown'!$G$2:$G$6</definedName>
    <definedName name="Art_and_Design_Design_Crafts_D_col_Group_A">'Diploma Dropdown'!$J:$J</definedName>
    <definedName name="Art_and_Design_Design_Crafts_D_units_Group_A">'Diploma Dropdown'!$K$2:$K$12</definedName>
    <definedName name="Art_and_Design_Design_Crafts_EC_col_Group_A">'Ext Cert Dropdown'!$J:$J</definedName>
    <definedName name="Art_and_Design_Design_Crafts_EC_units_Group_A">'Ext Cert Dropdown'!$K$2:$K$9</definedName>
    <definedName name="Art_and_Design_EC_col_Group_A">'Ext Cert Dropdown'!$F:$F</definedName>
    <definedName name="Art_and_Design_EC_units_Group_A">'Ext Cert Dropdown'!$G$2:$G$37</definedName>
    <definedName name="Art_and_Design_Fashion_and_Textiles_D_col_Group_A">'Diploma Dropdown'!$N:$N</definedName>
    <definedName name="Art_and_Design_Fashion_and_Textiles_D_units_Group_A">'Diploma Dropdown'!$O$2:$O$14</definedName>
    <definedName name="Art_and_Design_Fashion_and_Textiles_EC_col_Group_A">'Ext Cert Dropdown'!$N:$N</definedName>
    <definedName name="Art_and_Design_Fashion_and_Textiles_EC_units_Group_A">'Ext Cert Dropdown'!$O$2:$O$12</definedName>
    <definedName name="Art_and_Design_Photography_C_col_Group_A">'Cert Dropdown'!$J:$J</definedName>
    <definedName name="Art_and_Design_Photography_C_units_Group_A">'Cert Dropdown'!$K$2:$K$10</definedName>
    <definedName name="Art_and_Design_Photography_D_col_Group_A">'Diploma Dropdown'!$R:$R</definedName>
    <definedName name="Art_and_Design_Photography_D_units_Group_A">'Diploma Dropdown'!$S$2:$S$12</definedName>
    <definedName name="Art_and_Design_Photography_EC_col_Group_A">'Ext Cert Dropdown'!$R:$R</definedName>
    <definedName name="Art_and_Design_Photography_EC_units_Group_A">'Ext Cert Dropdown'!$S$2:$S$14</definedName>
    <definedName name="Art_and_Design_Product_Design_C_col_Group_A">'Cert Dropdown'!$N:$N</definedName>
    <definedName name="Art_and_Design_Product_Design_C_units_Group_A">'Cert Dropdown'!$O$2:$O$8</definedName>
    <definedName name="Art_and_Design_Product_Design_D_col_Group_A">'Diploma Dropdown'!$V:$V</definedName>
    <definedName name="Art_and_Design_Product_Design_D_units_Group_A">'Diploma Dropdown'!$W$2:$W$18</definedName>
    <definedName name="Art_and_Design_Product_Design_EC_col_Group_A">'Ext Cert Dropdown'!$V:$V</definedName>
    <definedName name="Art_and_Design_Product_Design_EC_units_Group_A">'Ext Cert Dropdown'!$W$2:$W$12</definedName>
    <definedName name="Art_and_Design_Visual_Arts_C_col_Group_A">'Cert Dropdown'!$R:$R</definedName>
    <definedName name="Art_and_Design_Visual_Arts_C_units_Group_A">'Cert Dropdown'!$S$2:$S$12</definedName>
    <definedName name="Art_and_Design_Visual_Arts_D_col_Group_A">'Diploma Dropdown'!$Z:$Z</definedName>
    <definedName name="Art_and_Design_Visual_Arts_D_units_Group_A">'Diploma Dropdown'!$AA$2:$AA$14</definedName>
    <definedName name="Art_and_Design_Visual_Arts_EC_col_Group_A">'Ext Cert Dropdown'!$Z:$Z</definedName>
    <definedName name="Art_and_Design_Visual_Arts_EC_units_Group_A">'Ext Cert Dropdown'!$AA$2:$AA$15</definedName>
    <definedName name="Art_and_Design_Visual_Communication_C_col_Group_A">'Cert Dropdown'!$V:$V</definedName>
    <definedName name="Art_and_Design_Visual_Communication_C_units_Group_A">'Cert Dropdown'!$W$2:$W$21</definedName>
    <definedName name="Art_and_Design_Visual_Communication_D_col_Group_A">'Diploma Dropdown'!$AD:$AD</definedName>
    <definedName name="Art_and_Design_Visual_Communication_D_units_Group_A">'Diploma Dropdown'!$AE$2:$AE$16</definedName>
    <definedName name="Art_and_Design_Visual_Communication_EC_col_Group_A">'Ext Cert Dropdown'!$AD:$AD</definedName>
    <definedName name="Art_and_Design_Visual_Communication_EC_units_Group_A">'Ext Cert Dropdown'!$AE$2:$AE$20</definedName>
    <definedName name="AwardSector">Sectors!$A$2:$A$25</definedName>
    <definedName name="Business_2012_A_col_Group_A">'Award Dropdown'!$F:$F</definedName>
    <definedName name="Business_2012_A_units_Group_A">'Award Dropdown'!$G$2:$G$7</definedName>
    <definedName name="Business_2018_A_col_Group_A">'Award Dropdown'!$J:$J</definedName>
    <definedName name="Business_2018_A_units_Group_A">'Award Dropdown'!$K$2:$K$4</definedName>
    <definedName name="Business_C_col_Group_A">'Cert Dropdown'!$Z:$Z</definedName>
    <definedName name="Business_C_units_Group_A">'Cert Dropdown'!$AA$2:$AA$30</definedName>
    <definedName name="Business_D_col_Group_A">'Diploma Dropdown'!$AH:$AH</definedName>
    <definedName name="Business_D_units_Group_A">'Diploma Dropdown'!$AI$2:$AI$27</definedName>
    <definedName name="Business_EC_col_Group_A">'Ext Cert Dropdown'!$AH:$AH</definedName>
    <definedName name="Business_EC_units_Group_A">'Ext Cert Dropdown'!$AI$2:$AI$30</definedName>
    <definedName name="CertSector">Sectors!$B$2:$B$24</definedName>
    <definedName name="Construction_and_the_Built_Environment_2013_A_col_Group_A">'Award Dropdown'!$N:$N</definedName>
    <definedName name="Construction_and_the_Built_Environment_2013_A_units_Group_A">'Award Dropdown'!$O$2:$O$8</definedName>
    <definedName name="Construction_and_the_Built_Environment_2018_A_col_Group_A">'Award Dropdown'!$R:$R</definedName>
    <definedName name="Construction_and_the_Built_Environment_2018_A_units_Group_A">'Award Dropdown'!$S$2:$S$7</definedName>
    <definedName name="Construction_and_the_Built_Environment_C_col_Group_A">'Cert Dropdown'!$AD:$AD</definedName>
    <definedName name="Construction_and_the_Built_Environment_C_units_Group_A">'Cert Dropdown'!$AE$2:$AE$17</definedName>
    <definedName name="Construction_and_the_Built_Environment_D_col_Group_A">'Diploma Dropdown'!$AL:$AL</definedName>
    <definedName name="Construction_and_the_Built_Environment_D_units_Group_A">'Diploma Dropdown'!$AM$2:$AM$22</definedName>
    <definedName name="Construction_and_the_Built_Environment_EC_col_Group_A">'Ext Cert Dropdown'!$AL:$AL</definedName>
    <definedName name="Construction_and_the_Built_Environment_EC_units_Group_A">'Ext Cert Dropdown'!$AM$2:$AM$22</definedName>
    <definedName name="CPLD_C_col_Group_A">'Cert Dropdown'!$DB:$DB</definedName>
    <definedName name="CPLD_C_units_Group_A">'Cert Dropdown'!$DC$2:$DC$5</definedName>
    <definedName name="Creative_Digital_Media_Production_A_col_Group_A">'Award Dropdown'!$V:$V</definedName>
    <definedName name="Creative_Digital_Media_Production_A_units_Group_A">'Award Dropdown'!$W$2:$W$6</definedName>
    <definedName name="Creative_Digital_Media_Production_C_col_Group_A">'Cert Dropdown'!$AH:$AH</definedName>
    <definedName name="Creative_Digital_Media_Production_C_col_Group_B">'Cert Dropdown'!$AL:$AL</definedName>
    <definedName name="Creative_Digital_Media_Production_C_units_Group_A">'Cert Dropdown'!$AI$2:$AI$6</definedName>
    <definedName name="Creative_Digital_Media_Production_C_units_Group_B">'Cert Dropdown'!$AM$2:$AM$8</definedName>
    <definedName name="Creative_Digital_Media_Production_D_col_Group_A">'Diploma Dropdown'!$AP:$AP</definedName>
    <definedName name="Creative_Digital_Media_Production_D_units_Group_A">'Diploma Dropdown'!$AQ$2:$AQ$18</definedName>
    <definedName name="Creative_Digital_Media_Production_EC_col_Group_A">'Ext Cert Dropdown'!$DB:$DB</definedName>
    <definedName name="Creative_Digital_Media_Production_EC_col_Group_B">'Ext Cert Dropdown'!$DF:$DF</definedName>
    <definedName name="Creative_Digital_Media_Production_EC_units_Group_A">'Ext Cert Dropdown'!$DC$2:$DC$6</definedName>
    <definedName name="Creative_Digital_Media_Production_EC_units_Group_B">'Ext Cert Dropdown'!$DG$2:$DG$11</definedName>
    <definedName name="DiplomaSector">Sectors!$D$2:$D$32</definedName>
    <definedName name="Engineering_A_col_Group_A">'Award Dropdown'!$Z:$Z</definedName>
    <definedName name="Engineering_A_units_Group_A">'Award Dropdown'!$AA$2:$AA$7</definedName>
    <definedName name="Engineering_C_col_Group_A">'Cert Dropdown'!$AP:$AP</definedName>
    <definedName name="Engineering_C_units_Group_A">'Cert Dropdown'!$AQ$2:$AQ$11</definedName>
    <definedName name="Engineering_D_col_Group_A">'Diploma Dropdown'!$AT:$AT</definedName>
    <definedName name="Engineering_D_col_Group_B">'Diploma Dropdown'!$AX:$AX</definedName>
    <definedName name="Engineering_D_units_Group_A">'Diploma Dropdown'!$AU$2:$AU$6</definedName>
    <definedName name="Engineering_D_units_Group_B">'Diploma Dropdown'!$AY$2:$AY$24</definedName>
    <definedName name="Engineering_EC_col_Group_A">'Ext Cert Dropdown'!$AP:$AP</definedName>
    <definedName name="Engineering_EC_units_Group_A">'Ext Cert Dropdown'!$AQ$2:$AQ$17</definedName>
    <definedName name="Engineering_Maintenance_D_col_Group_A">'Diploma Dropdown'!$BJ:$BJ</definedName>
    <definedName name="Engineering_Maintenance_D_col_Group_B">'Diploma Dropdown'!$BN:$BN</definedName>
    <definedName name="Engineering_Maintenance_D_units_Group_A">'Diploma Dropdown'!$BK$2:$BK$5</definedName>
    <definedName name="Engineering_Maintenance_D_units_Group_B">'Diploma Dropdown'!$BO$2:$BO$8</definedName>
    <definedName name="Engineering_Manufacturing_D_col_Group_A">'Diploma Dropdown'!$BR:$BR</definedName>
    <definedName name="Engineering_Manufacturing_D_col_Group_B">'Diploma Dropdown'!$BV:$BV</definedName>
    <definedName name="Engineering_Manufacturing_D_units_Group_A">'Diploma Dropdown'!$BS$2:$BS$4</definedName>
    <definedName name="Engineering_Manufacturing_D_units_Group_B">'Diploma Dropdown'!$BW$2:$BW$13</definedName>
    <definedName name="Engineering_Mechanical_D_col_Group_A">'Diploma Dropdown'!$BZ:$BZ</definedName>
    <definedName name="Engineering_Mechanical_D_col_Group_B">'Diploma Dropdown'!$CD:$CD</definedName>
    <definedName name="Engineering_Mechanical_D_units_Group_A">'Diploma Dropdown'!$CA$2:$CA$4</definedName>
    <definedName name="Engineering_Mechanical_D_units_Group_B">'Diploma Dropdown'!$CE$2:$CE$12</definedName>
    <definedName name="Engineering_Technology_D_col_Group_A">'Diploma Dropdown'!$BB:$BB</definedName>
    <definedName name="Engineering_Technology_D_col_Group_B">'Diploma Dropdown'!$BF:$BF</definedName>
    <definedName name="Engineering_Technology_D_units_Group_A">'Diploma Dropdown'!$BC$2:$BC$3</definedName>
    <definedName name="Engineering_Technology_D_units_Group_B">'Diploma Dropdown'!$BG$2:$BG$8</definedName>
    <definedName name="Equine_Studies_A_col_Group_A">'Award Dropdown'!$AD:$AD</definedName>
    <definedName name="Equine_Studies_A_units_Group_A">'Award Dropdown'!$AE$2:$AE$4</definedName>
    <definedName name="ExtCertSector">Sectors!$C$2:$C$24</definedName>
    <definedName name="Health_and_Social_Care_A_col_Group_A">'Award Dropdown'!$AH:$AH</definedName>
    <definedName name="Health_and_Social_Care_A_units_Group_A">'Award Dropdown'!$AI$2:$AI$7</definedName>
    <definedName name="Health_and_Social_Care_C_col_Group_A">'Cert Dropdown'!$AT:$AT</definedName>
    <definedName name="Health_and_Social_Care_C_units_Group_A">'Cert Dropdown'!$AU$2:$AU$9</definedName>
    <definedName name="Health_and_Social_Care_D_col_Group_A">'Diploma Dropdown'!$CH:$CH</definedName>
    <definedName name="Health_and_Social_Care_D_col_Group_B">'Diploma Dropdown'!$CL:$CL</definedName>
    <definedName name="Health_and_Social_Care_D_units_Group_A">'Diploma Dropdown'!$CI$2:$CI$9</definedName>
    <definedName name="Health_and_Social_Care_D_units_Group_B">'Diploma Dropdown'!$CM$2:$CM$9</definedName>
    <definedName name="Health_and_Social_Care_EC_col_Group_A">'Ext Cert Dropdown'!$AT:$AT</definedName>
    <definedName name="Health_and_Social_Care_EC_units_Group_A">'Ext Cert Dropdown'!$AU$2:$AU$17</definedName>
    <definedName name="Hospitality_A_col_Group_A">'Award Dropdown'!$AL:$AL</definedName>
    <definedName name="Hospitality_A_units_Group_A">'Award Dropdown'!$AM$2:$AM$6</definedName>
    <definedName name="Hospitality_C_col_Group_A">'Cert Dropdown'!$AX:$AX</definedName>
    <definedName name="Hospitality_C_units_Group_A">'Cert Dropdown'!$AY$2:$AY$17</definedName>
    <definedName name="Hospitality_D_col_Group_A">'Diploma Dropdown'!$CP:$CP</definedName>
    <definedName name="Hospitality_D_units_Group_A">'Diploma Dropdown'!$CQ$2:$CQ$18</definedName>
    <definedName name="Hospitality_EC_col_Group_A">'Ext Cert Dropdown'!$AX:$AX</definedName>
    <definedName name="Hospitality_EC_units_Group_A">'Ext Cert Dropdown'!$AY$2:$AY$16</definedName>
    <definedName name="Information_and_Creative_Technology_A_col_Group_A">'Award Dropdown'!$AP:$AP</definedName>
    <definedName name="Information_and_Creative_Technology_A_units_Group_A">'Award Dropdown'!$AQ$2:$AQ$8</definedName>
    <definedName name="Information_and_Creative_Technology_C_col_Group_A">'Cert Dropdown'!$BB:$BB</definedName>
    <definedName name="Information_and_Creative_Technology_C_units_Group_A">'Cert Dropdown'!$BC$2:$BC$23</definedName>
    <definedName name="Information_and_Creative_Technology_Computer_Science_D_col_Group_A">'Diploma Dropdown'!$DB:$DB</definedName>
    <definedName name="Information_and_Creative_Technology_Computer_Science_D_units_Group_A">'Diploma Dropdown'!$DC$2:$DC$17</definedName>
    <definedName name="Information_and_Creative_Technology_D_col_Group_A">'Diploma Dropdown'!$CT:$CT</definedName>
    <definedName name="Information_and_Creative_Technology_D_col_Group_B">'Diploma Dropdown'!$CX:$CX</definedName>
    <definedName name="Information_and_Creative_Technology_D_units_Group_A">'Diploma Dropdown'!$CU$2:$CU$12</definedName>
    <definedName name="Information_and_Creative_Technology_D_units_Group_B">'Diploma Dropdown'!$CY$2:$CY$9</definedName>
    <definedName name="Information_and_Creative_Technology_EC_col_Group_A">'Ext Cert Dropdown'!$BB:$BB</definedName>
    <definedName name="Information_and_Creative_Technology_EC_units_Group_A">'Ext Cert Dropdown'!$BC$2:$BC$23</definedName>
    <definedName name="Information_and_Creative_Technology_Systems_Development_and_Support_D_col_Group_A">'Diploma Dropdown'!$DF:$DF</definedName>
    <definedName name="Information_and_Creative_Technology_Systems_Development_and_Support_D_units_Group_A">'Diploma Dropdown'!$DG$2:$DG$17</definedName>
    <definedName name="Music_A_col_Group_A">'Award Dropdown'!$AT:$AT</definedName>
    <definedName name="Music_A_units_Group_A">'Award Dropdown'!$AU$2:$AU$6</definedName>
    <definedName name="Music_C_col_Group_A">'Cert Dropdown'!$BF:$BF</definedName>
    <definedName name="Music_C_units_Group_A">'Cert Dropdown'!$BG$2:$BG$26</definedName>
    <definedName name="Music_D_col_Group_A">'Diploma Dropdown'!$DJ:$DJ</definedName>
    <definedName name="Music_D_units_Group_A">'Diploma Dropdown'!$DK$2:$DK$23</definedName>
    <definedName name="Music_EC_col_Group_A">'Ext Cert Dropdown'!$BF:$BF</definedName>
    <definedName name="Music_EC_units_Group_A">'Ext Cert Dropdown'!$BG$2:$BG$24</definedName>
    <definedName name="Performing_Arts_A_col_Group_A">'Award Dropdown'!$AX:$AX</definedName>
    <definedName name="Performing_Arts_A_units_Group_A">'Award Dropdown'!$AY$2:$AY$6</definedName>
    <definedName name="Performing_Arts_Acting_C_col_Group_A">'Cert Dropdown'!$BJ:$BJ</definedName>
    <definedName name="Performing_Arts_Acting_C_col_Group_B">'Cert Dropdown'!$BN:$BN</definedName>
    <definedName name="Performing_Arts_Acting_C_units_Group_A">'Cert Dropdown'!$BK$2:$BK$15</definedName>
    <definedName name="Performing_Arts_Acting_C_units_Group_B">'Cert Dropdown'!$BO$2:$BO$15</definedName>
    <definedName name="Performing_Arts_Acting_D_col_Group_A">'Diploma Dropdown'!$DV:$DV</definedName>
    <definedName name="Performing_Arts_Acting_D_col_Group_B">'Diploma Dropdown'!$DZ:$DZ</definedName>
    <definedName name="Performing_Arts_Acting_D_units_Group_A">'Diploma Dropdown'!$DW$2:$DW$12</definedName>
    <definedName name="Performing_Arts_Acting_D_units_Group_B">'Diploma Dropdown'!$EA$2:$EA$15</definedName>
    <definedName name="Performing_Arts_Acting_EC_col_Group_A">'Ext Cert Dropdown'!$BR:$BR</definedName>
    <definedName name="Performing_Arts_Acting_EC_col_Group_B">'Ext Cert Dropdown'!$BV:$BV</definedName>
    <definedName name="Performing_Arts_Acting_EC_units_Group_A">'Ext Cert Dropdown'!$BS$2:$BS$17</definedName>
    <definedName name="Performing_Arts_Acting_EC_units_Group_B">'Ext Cert Dropdown'!$BW$2:$BW$15</definedName>
    <definedName name="Performing_Arts_D_col_Group_A">'Diploma Dropdown'!$DN:$DN</definedName>
    <definedName name="Performing_Arts_D_col_Group_B">'Diploma Dropdown'!$DR:$DR</definedName>
    <definedName name="Performing_Arts_D_units_Group_A">'Diploma Dropdown'!$DO$2:$DO$6</definedName>
    <definedName name="Performing_Arts_D_units_Group_B">'Diploma Dropdown'!$DS$2:$DS$30</definedName>
    <definedName name="Performing_Arts_Dance_C_col_Group_A">'Cert Dropdown'!$BR:$BR</definedName>
    <definedName name="Performing_Arts_Dance_C_col_Group_B">'Cert Dropdown'!$BV:$BV</definedName>
    <definedName name="Performing_Arts_Dance_C_units_Group_A">'Cert Dropdown'!$BS$2:$BS$11</definedName>
    <definedName name="Performing_Arts_Dance_C_units_Group_B">'Cert Dropdown'!$BW$2:$BW$14</definedName>
    <definedName name="Performing_Arts_Dance_D_col_Group_A">'Diploma Dropdown'!$ED:$ED</definedName>
    <definedName name="Performing_Arts_Dance_D_col_Group_B">'Diploma Dropdown'!$EH:$EH</definedName>
    <definedName name="Performing_Arts_Dance_D_units_Group_A">'Diploma Dropdown'!$EE$2:$EE$11</definedName>
    <definedName name="Performing_Arts_Dance_D_units_Group_B">'Diploma Dropdown'!$EI$2:$EI$14</definedName>
    <definedName name="Performing_Arts_Dance_EC_col_Group_A">'Ext Cert Dropdown'!$BZ:$BZ</definedName>
    <definedName name="Performing_Arts_Dance_EC_col_Group_B">'Ext Cert Dropdown'!$CD:$CD</definedName>
    <definedName name="Performing_Arts_Dance_EC_units_Group_A">'Ext Cert Dropdown'!$CA$2:$CA$14</definedName>
    <definedName name="Performing_Arts_Dance_EC_units_Group_B">'Ext Cert Dropdown'!$CE$2:$CE$14</definedName>
    <definedName name="Performing_Arts_EC_col_Group_A">'Ext Cert Dropdown'!$BJ:$BJ</definedName>
    <definedName name="Performing_Arts_EC_col_Group_B">'Ext Cert Dropdown'!$BN:$BN</definedName>
    <definedName name="Performing_Arts_EC_units_Group_A">'Ext Cert Dropdown'!$BK$2:$BK$6</definedName>
    <definedName name="Performing_Arts_EC_units_Group_B">'Ext Cert Dropdown'!$BO$2:$BO$33</definedName>
    <definedName name="Performing_Arts_Musical_Theatre_C_col_Group_A">'Cert Dropdown'!$BZ:$BZ</definedName>
    <definedName name="Performing_Arts_Musical_Theatre_C_col_Group_B">'Cert Dropdown'!$CD:$CD</definedName>
    <definedName name="Performing_Arts_Musical_Theatre_C_units_Group_A">'Cert Dropdown'!$CA$2:$CA$5</definedName>
    <definedName name="Performing_Arts_Musical_Theatre_C_units_Group_B">'Cert Dropdown'!$CE$2:$CE$14</definedName>
    <definedName name="Performing_Arts_Production_C_col_Group_A">'Cert Dropdown'!$CH:$CH</definedName>
    <definedName name="Performing_Arts_Production_C_col_Group_B">'Cert Dropdown'!$CL:$CL</definedName>
    <definedName name="Performing_Arts_Production_C_units_Group_A">'Cert Dropdown'!$CI$2:$CI$19</definedName>
    <definedName name="Performing_Arts_Production_C_units_Group_B">'Cert Dropdown'!$CM$2:$CM$8</definedName>
    <definedName name="Performing_Arts_Production_D_col_Group_A">'Diploma Dropdown'!$EL:$EL</definedName>
    <definedName name="Performing_Arts_Production_D_col_Group_B">'Diploma Dropdown'!$EP:$EP</definedName>
    <definedName name="Performing_Arts_Production_D_units_Group_A">'Diploma Dropdown'!$EM$2:$EM$16</definedName>
    <definedName name="Performing_Arts_Production_D_units_Group_B">'Diploma Dropdown'!$EQ$2:$EQ$10</definedName>
    <definedName name="Performing_Arts_Production_EC_col_Group_A">'Ext Cert Dropdown'!$CH:$CH</definedName>
    <definedName name="Performing_Arts_Production_EC_col_Group_B">'Ext Cert Dropdown'!$CL:$CL</definedName>
    <definedName name="Performing_Arts_Production_EC_units_Group_A">'Ext Cert Dropdown'!$CI$2:$CI$13</definedName>
    <definedName name="Performing_Arts_Production_EC_units_Group_B">'Ext Cert Dropdown'!$CM$2:$CM$10</definedName>
    <definedName name="Public_Services_A_col_Group_A">'Award Dropdown'!$BB:$BB</definedName>
    <definedName name="Public_Services_A_units_Group_A">'Award Dropdown'!$BC$2:$BC$4</definedName>
    <definedName name="Public_Services_C_col_Group_A">'Cert Dropdown'!$CP:$CP</definedName>
    <definedName name="Public_Services_C_units_Group_A">'Cert Dropdown'!$CQ$2:$CQ$18</definedName>
    <definedName name="Public_Services_D_col_Group_A">'Diploma Dropdown'!$ET:$ET</definedName>
    <definedName name="Public_Services_D_units_Group_A">'Diploma Dropdown'!$EU$2:$EU$15</definedName>
    <definedName name="Public_Services_EC_col_Group_A">'Ext Cert Dropdown'!$CP:$CP</definedName>
    <definedName name="Public_Services_EC_units_Group_A">'Ext Cert Dropdown'!$CQ$2:$CQ$17</definedName>
    <definedName name="Sport_2012_A_col_Group_A">'Award Dropdown'!$BF:$BF</definedName>
    <definedName name="Sport_2012_A_units_Group_A">'Award Dropdown'!$BG$2:$BG$5</definedName>
    <definedName name="Sport_2018_A_col_Group_A">'Award Dropdown'!$BJ:$BJ</definedName>
    <definedName name="Sport_2018_A_units_Group_A">'Award Dropdown'!$BK$2:$BK$4</definedName>
    <definedName name="Sport_C_col_Group_A">'Cert Dropdown'!$CT:$CT</definedName>
    <definedName name="Sport_C_units_Group_A">'Cert Dropdown'!$CU$2:$CU$11</definedName>
    <definedName name="Sport_D_col_Group_A">'Diploma Dropdown'!$EX:$EX</definedName>
    <definedName name="Sport_D_col_Group_B">'Diploma Dropdown'!$FB:$FB</definedName>
    <definedName name="Sport_D_units_Group_A">'Diploma Dropdown'!$EY$2:$EY$9</definedName>
    <definedName name="Sport_D_units_Group_B">'Diploma Dropdown'!$FC$2:$FC$10</definedName>
    <definedName name="Sport_EC_col_Group_A">'Ext Cert Dropdown'!$CT:$CT</definedName>
    <definedName name="Sport_EC_units_Group_A">'Ext Cert Dropdown'!$CU$2:$CU$19</definedName>
    <definedName name="Sport_Fitness_and_Exercise_D_col_Group_A">'Diploma Dropdown'!$FN:$FN</definedName>
    <definedName name="Sport_Fitness_and_Exercise_D_col_Group_B">'Diploma Dropdown'!$FR:$FR</definedName>
    <definedName name="Sport_Fitness_and_Exercise_D_units_Group_A">'Diploma Dropdown'!$FO$2:$FO$3</definedName>
    <definedName name="Sport_Fitness_and_Exercise_D_units_Group_B">'Diploma Dropdown'!$FS$2:$FS$8</definedName>
    <definedName name="Sport_Outdoor_and_Adventurous_Activities_D_col_Group_A">'Diploma Dropdown'!$FF:$FF</definedName>
    <definedName name="Sport_Outdoor_and_Adventurous_Activities_D_col_Group_B">'Diploma Dropdown'!$FJ:$FJ</definedName>
    <definedName name="Sport_Outdoor_and_Adventurous_Activities_D_units_Group_A">'Diploma Dropdown'!$FG$2:$FG$6</definedName>
    <definedName name="Sport_Outdoor_and_Adventurous_Activities_D_units_Group_B">'Diploma Dropdown'!$FK$2:$FK$13</definedName>
    <definedName name="Travel_and_Tourism_2013_A_col_Group_A">'Award Dropdown'!$BN:$BN</definedName>
    <definedName name="Travel_and_Tourism_2013_A_units_Group_A">'Award Dropdown'!$BO$2:$BO$5</definedName>
    <definedName name="Travel_and_Tourism_2018_A_col_Group_A">'Award Dropdown'!$BR:$BR</definedName>
    <definedName name="Travel_and_Tourism_2018_A_units_Group_A">'Award Dropdown'!$BS$2:$BS$3</definedName>
    <definedName name="Travel_and_Tourism_C_col_Group_A">'Cert Dropdown'!$CX:$CX</definedName>
    <definedName name="Travel_and_Tourism_C_units_Group_A">'Cert Dropdown'!$CY$2:$CY$16</definedName>
    <definedName name="Travel_and_Tourism_D_col_Group_A">'Diploma Dropdown'!$FV:$FV</definedName>
    <definedName name="Travel_and_Tourism_D_units_Group_A">'Diploma Dropdown'!$FW$2:$FW$14</definedName>
    <definedName name="Travel_and_Tourism_EC_col_Group_A">'Ext Cert Dropdown'!$CX:$CX</definedName>
    <definedName name="Travel_and_Tourism_EC_units_Group_A">'Ext Cert Dropdown'!$CY$2:$CY$16</definedName>
    <definedName name="UnitGrade">Points!$A$2:$A$6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B3" i="12" l="1"/>
  <c r="DB4" i="12"/>
  <c r="DB5" i="12"/>
  <c r="DB2" i="12"/>
  <c r="DC3" i="12" l="1"/>
  <c r="DC4" i="12"/>
  <c r="DC2" i="12"/>
  <c r="DC5" i="12"/>
  <c r="BR3" i="14"/>
  <c r="BR2" i="14"/>
  <c r="BN3" i="14"/>
  <c r="BN4" i="14"/>
  <c r="BN5" i="14"/>
  <c r="BN2" i="14"/>
  <c r="BJ3" i="14"/>
  <c r="BJ4" i="14"/>
  <c r="BJ2" i="14"/>
  <c r="BF3" i="14"/>
  <c r="BF4" i="14"/>
  <c r="BF5" i="14"/>
  <c r="BF2" i="14"/>
  <c r="BB3" i="14"/>
  <c r="BB4" i="14"/>
  <c r="BB2" i="14"/>
  <c r="AX3" i="14"/>
  <c r="AX4" i="14"/>
  <c r="AX5" i="14"/>
  <c r="AX6" i="14"/>
  <c r="AX2" i="14"/>
  <c r="AT3" i="14"/>
  <c r="AT4" i="14"/>
  <c r="AT5" i="14"/>
  <c r="AT6" i="14"/>
  <c r="AT2" i="14"/>
  <c r="AP3" i="14"/>
  <c r="AP4" i="14"/>
  <c r="AP5" i="14"/>
  <c r="AP6" i="14"/>
  <c r="AP7" i="14"/>
  <c r="AP8" i="14"/>
  <c r="AP2" i="14"/>
  <c r="AL3" i="14"/>
  <c r="AL4" i="14"/>
  <c r="AL5" i="14"/>
  <c r="AL6" i="14"/>
  <c r="AL2" i="14"/>
  <c r="AH3" i="14"/>
  <c r="AH4" i="14"/>
  <c r="AH5" i="14"/>
  <c r="AH6" i="14"/>
  <c r="AH7" i="14"/>
  <c r="AH2" i="14"/>
  <c r="AD3" i="14"/>
  <c r="AD4" i="14"/>
  <c r="AD2" i="14"/>
  <c r="Z3" i="14"/>
  <c r="Z4" i="14"/>
  <c r="Z5" i="14"/>
  <c r="Z6" i="14"/>
  <c r="Z7" i="14"/>
  <c r="Z2" i="14"/>
  <c r="V3" i="14"/>
  <c r="V4" i="14"/>
  <c r="V5" i="14"/>
  <c r="V6" i="14"/>
  <c r="V2" i="14"/>
  <c r="R3" i="14"/>
  <c r="R4" i="14"/>
  <c r="R5" i="14"/>
  <c r="R6" i="14"/>
  <c r="R7" i="14"/>
  <c r="R2" i="14"/>
  <c r="N3" i="14"/>
  <c r="N4" i="14"/>
  <c r="N5" i="14"/>
  <c r="N6" i="14"/>
  <c r="N7" i="14"/>
  <c r="N8" i="14"/>
  <c r="N2" i="14"/>
  <c r="B9" i="10" a="1"/>
  <c r="B9" i="10" s="1"/>
  <c r="B10" i="10" a="1"/>
  <c r="B10" i="10" s="1"/>
  <c r="J10" i="10" s="1"/>
  <c r="B11" i="10" a="1"/>
  <c r="B11" i="10" s="1"/>
  <c r="J11" i="10" s="1"/>
  <c r="B12" i="10" a="1"/>
  <c r="B12" i="10" s="1"/>
  <c r="J12" i="10" s="1"/>
  <c r="B13" i="10" a="1"/>
  <c r="B13" i="10" s="1"/>
  <c r="J13" i="10" s="1"/>
  <c r="B14" i="10" a="1"/>
  <c r="B14" i="10" s="1"/>
  <c r="J14" i="10" s="1"/>
  <c r="B15" i="10" a="1"/>
  <c r="B15" i="10" s="1"/>
  <c r="J15" i="10" s="1"/>
  <c r="B16" i="10" a="1"/>
  <c r="B16" i="10" s="1"/>
  <c r="J16" i="10" s="1"/>
  <c r="B17" i="10" a="1"/>
  <c r="B17" i="10" s="1"/>
  <c r="J17" i="10" s="1"/>
  <c r="B8" i="10" a="1"/>
  <c r="B8" i="10" s="1"/>
  <c r="J3" i="14"/>
  <c r="J4" i="14"/>
  <c r="J2" i="14"/>
  <c r="F3" i="14"/>
  <c r="F4" i="14"/>
  <c r="F5" i="14"/>
  <c r="F6" i="14"/>
  <c r="F7" i="14"/>
  <c r="F2" i="14"/>
  <c r="B3" i="14"/>
  <c r="B4" i="14"/>
  <c r="B5" i="14"/>
  <c r="B2" i="14"/>
  <c r="F41" i="10" a="1"/>
  <c r="F41" i="10" s="1"/>
  <c r="D41" i="10" a="1"/>
  <c r="D41" i="10" s="1"/>
  <c r="C41" i="10" a="1"/>
  <c r="C41" i="10" s="1"/>
  <c r="F40" i="10" a="1"/>
  <c r="F40" i="10" s="1"/>
  <c r="D40" i="10" a="1"/>
  <c r="D40" i="10" s="1"/>
  <c r="C40" i="10" a="1"/>
  <c r="C40" i="10" s="1"/>
  <c r="F39" i="10" a="1"/>
  <c r="F39" i="10" s="1"/>
  <c r="D39" i="10" a="1"/>
  <c r="D39" i="10" s="1"/>
  <c r="C39" i="10" a="1"/>
  <c r="C39" i="10" s="1"/>
  <c r="F38" i="10" a="1"/>
  <c r="F38" i="10" s="1"/>
  <c r="D38" i="10" a="1"/>
  <c r="D38" i="10" s="1"/>
  <c r="C38" i="10" a="1"/>
  <c r="C38" i="10" s="1"/>
  <c r="F37" i="10" a="1"/>
  <c r="F37" i="10" s="1"/>
  <c r="D37" i="10" a="1"/>
  <c r="D37" i="10" s="1"/>
  <c r="C37" i="10" a="1"/>
  <c r="C37" i="10" s="1"/>
  <c r="F36" i="10" a="1"/>
  <c r="F36" i="10" s="1"/>
  <c r="D36" i="10" a="1"/>
  <c r="D36" i="10" s="1"/>
  <c r="C36" i="10" a="1"/>
  <c r="C36" i="10" s="1"/>
  <c r="F35" i="10" a="1"/>
  <c r="F35" i="10" s="1"/>
  <c r="D35" i="10" a="1"/>
  <c r="D35" i="10" s="1"/>
  <c r="C35" i="10" a="1"/>
  <c r="C35" i="10" s="1"/>
  <c r="F34" i="10" a="1"/>
  <c r="F34" i="10" s="1"/>
  <c r="D34" i="10" a="1"/>
  <c r="D34" i="10" s="1"/>
  <c r="C34" i="10" a="1"/>
  <c r="C34" i="10" s="1"/>
  <c r="F33" i="10" a="1"/>
  <c r="F33" i="10" s="1"/>
  <c r="D33" i="10" a="1"/>
  <c r="D33" i="10" s="1"/>
  <c r="C33" i="10" a="1"/>
  <c r="C33" i="10" s="1"/>
  <c r="F32" i="10" a="1"/>
  <c r="F32" i="10" s="1"/>
  <c r="D32" i="10" a="1"/>
  <c r="D32" i="10" s="1"/>
  <c r="C32" i="10" a="1"/>
  <c r="C32" i="10" s="1"/>
  <c r="F29" i="10" a="1"/>
  <c r="F29" i="10" s="1"/>
  <c r="D29" i="10" a="1"/>
  <c r="D29" i="10" s="1"/>
  <c r="C29" i="10" a="1"/>
  <c r="C29" i="10" s="1"/>
  <c r="F28" i="10" a="1"/>
  <c r="F28" i="10" s="1"/>
  <c r="D28" i="10" a="1"/>
  <c r="D28" i="10" s="1"/>
  <c r="C28" i="10" a="1"/>
  <c r="C28" i="10" s="1"/>
  <c r="F27" i="10" a="1"/>
  <c r="F27" i="10" s="1"/>
  <c r="D27" i="10" a="1"/>
  <c r="D27" i="10" s="1"/>
  <c r="C27" i="10" a="1"/>
  <c r="C27" i="10" s="1"/>
  <c r="F26" i="10" a="1"/>
  <c r="F26" i="10" s="1"/>
  <c r="D26" i="10" a="1"/>
  <c r="D26" i="10" s="1"/>
  <c r="C26" i="10" a="1"/>
  <c r="C26" i="10" s="1"/>
  <c r="F25" i="10" a="1"/>
  <c r="F25" i="10" s="1"/>
  <c r="D25" i="10" a="1"/>
  <c r="D25" i="10" s="1"/>
  <c r="C25" i="10" a="1"/>
  <c r="C25" i="10" s="1"/>
  <c r="F24" i="10" a="1"/>
  <c r="F24" i="10" s="1"/>
  <c r="D24" i="10" a="1"/>
  <c r="D24" i="10" s="1"/>
  <c r="C24" i="10" a="1"/>
  <c r="C24" i="10" s="1"/>
  <c r="F23" i="10" a="1"/>
  <c r="F23" i="10" s="1"/>
  <c r="D23" i="10" a="1"/>
  <c r="D23" i="10" s="1"/>
  <c r="C23" i="10" a="1"/>
  <c r="C23" i="10" s="1"/>
  <c r="F22" i="10" a="1"/>
  <c r="F22" i="10" s="1"/>
  <c r="D22" i="10" a="1"/>
  <c r="D22" i="10" s="1"/>
  <c r="C22" i="10" a="1"/>
  <c r="C22" i="10" s="1"/>
  <c r="F21" i="10" a="1"/>
  <c r="F21" i="10" s="1"/>
  <c r="D21" i="10" a="1"/>
  <c r="D21" i="10" s="1"/>
  <c r="C21" i="10" a="1"/>
  <c r="C21" i="10" s="1"/>
  <c r="F20" i="10" a="1"/>
  <c r="F20" i="10" s="1"/>
  <c r="D20" i="10" a="1"/>
  <c r="D20" i="10" s="1"/>
  <c r="C20" i="10" a="1"/>
  <c r="C20" i="10" s="1"/>
  <c r="F17" i="10" a="1"/>
  <c r="F17" i="10" s="1"/>
  <c r="E17" i="10" a="1"/>
  <c r="E17" i="10" s="1"/>
  <c r="D17" i="10" a="1"/>
  <c r="D17" i="10" s="1"/>
  <c r="C17" i="10" a="1"/>
  <c r="C17" i="10" s="1"/>
  <c r="F16" i="10" a="1"/>
  <c r="F16" i="10" s="1"/>
  <c r="E16" i="10" a="1"/>
  <c r="E16" i="10" s="1"/>
  <c r="D16" i="10" a="1"/>
  <c r="D16" i="10" s="1"/>
  <c r="C16" i="10" a="1"/>
  <c r="C16" i="10" s="1"/>
  <c r="F15" i="10" a="1"/>
  <c r="F15" i="10" s="1"/>
  <c r="E15" i="10" a="1"/>
  <c r="E15" i="10" s="1"/>
  <c r="D15" i="10" a="1"/>
  <c r="D15" i="10" s="1"/>
  <c r="C15" i="10" a="1"/>
  <c r="C15" i="10" s="1"/>
  <c r="F14" i="10" a="1"/>
  <c r="F14" i="10" s="1"/>
  <c r="E14" i="10" a="1"/>
  <c r="E14" i="10" s="1"/>
  <c r="D14" i="10" a="1"/>
  <c r="D14" i="10" s="1"/>
  <c r="C14" i="10" a="1"/>
  <c r="C14" i="10" s="1"/>
  <c r="F13" i="10" a="1"/>
  <c r="F13" i="10" s="1"/>
  <c r="E13" i="10" a="1"/>
  <c r="E13" i="10" s="1"/>
  <c r="D13" i="10" a="1"/>
  <c r="D13" i="10" s="1"/>
  <c r="C13" i="10" a="1"/>
  <c r="C13" i="10" s="1"/>
  <c r="F12" i="10" a="1"/>
  <c r="F12" i="10" s="1"/>
  <c r="E12" i="10" a="1"/>
  <c r="E12" i="10" s="1"/>
  <c r="D12" i="10" a="1"/>
  <c r="D12" i="10" s="1"/>
  <c r="C12" i="10" a="1"/>
  <c r="C12" i="10" s="1"/>
  <c r="F11" i="10" a="1"/>
  <c r="F11" i="10" s="1"/>
  <c r="E11" i="10" a="1"/>
  <c r="E11" i="10" s="1"/>
  <c r="D11" i="10" a="1"/>
  <c r="D11" i="10" s="1"/>
  <c r="C11" i="10" a="1"/>
  <c r="C11" i="10" s="1"/>
  <c r="F10" i="10" a="1"/>
  <c r="F10" i="10" s="1"/>
  <c r="E10" i="10" a="1"/>
  <c r="E10" i="10" s="1"/>
  <c r="D10" i="10" a="1"/>
  <c r="D10" i="10" s="1"/>
  <c r="C10" i="10" a="1"/>
  <c r="C10" i="10" s="1"/>
  <c r="F9" i="10" a="1"/>
  <c r="F9" i="10" s="1"/>
  <c r="E9" i="10" a="1"/>
  <c r="E9" i="10" s="1"/>
  <c r="D9" i="10" a="1"/>
  <c r="D9" i="10" s="1"/>
  <c r="C9" i="10" a="1"/>
  <c r="C9" i="10" s="1"/>
  <c r="F8" i="10" a="1"/>
  <c r="F8" i="10" s="1"/>
  <c r="E8" i="10" a="1"/>
  <c r="E8" i="10" s="1"/>
  <c r="D8" i="10" a="1"/>
  <c r="D8" i="10" s="1"/>
  <c r="C8" i="10" a="1"/>
  <c r="C8" i="10" s="1"/>
  <c r="H41" i="10"/>
  <c r="H40" i="10"/>
  <c r="H39" i="10"/>
  <c r="H38" i="10"/>
  <c r="H37" i="10"/>
  <c r="H36" i="10"/>
  <c r="H35" i="10"/>
  <c r="H34" i="10"/>
  <c r="H33" i="10"/>
  <c r="H32" i="10"/>
  <c r="H29" i="10"/>
  <c r="H28" i="10"/>
  <c r="H27" i="10"/>
  <c r="H26" i="10"/>
  <c r="H25" i="10"/>
  <c r="H24" i="10"/>
  <c r="H23" i="10"/>
  <c r="H22" i="10"/>
  <c r="H21" i="10"/>
  <c r="H20" i="10"/>
  <c r="H17" i="10"/>
  <c r="H16" i="10"/>
  <c r="H15" i="10"/>
  <c r="H14" i="10"/>
  <c r="H13" i="10"/>
  <c r="H12" i="10"/>
  <c r="H11" i="10"/>
  <c r="H10" i="10"/>
  <c r="H9" i="10"/>
  <c r="H8" i="10"/>
  <c r="AY42" i="12"/>
  <c r="AY40" i="12"/>
  <c r="AW42" i="12"/>
  <c r="AW40" i="12"/>
  <c r="AY42" i="8"/>
  <c r="AY40" i="8"/>
  <c r="AW42" i="8"/>
  <c r="AW40" i="8"/>
  <c r="AA6" i="14" l="1"/>
  <c r="O4" i="14"/>
  <c r="I28" i="10"/>
  <c r="AA4" i="14"/>
  <c r="AE3" i="14"/>
  <c r="AQ4" i="14"/>
  <c r="BS3" i="14"/>
  <c r="O8" i="14"/>
  <c r="BC2" i="14"/>
  <c r="S3" i="14"/>
  <c r="AQ6" i="14"/>
  <c r="I16" i="10"/>
  <c r="I27" i="10"/>
  <c r="O6" i="14"/>
  <c r="W2" i="14"/>
  <c r="W3" i="14"/>
  <c r="AA3" i="14"/>
  <c r="AI6" i="14"/>
  <c r="AQ8" i="14"/>
  <c r="AQ3" i="14"/>
  <c r="BK3" i="14"/>
  <c r="BO3" i="14"/>
  <c r="I26" i="10"/>
  <c r="K3" i="14"/>
  <c r="O3" i="14"/>
  <c r="AI3" i="14"/>
  <c r="AU2" i="14"/>
  <c r="AU3" i="14"/>
  <c r="BC3" i="14"/>
  <c r="BG3" i="14"/>
  <c r="I29" i="10"/>
  <c r="G3" i="14"/>
  <c r="AM2" i="14"/>
  <c r="AM3" i="14"/>
  <c r="AY2" i="14"/>
  <c r="AY3" i="14"/>
  <c r="BS2" i="14"/>
  <c r="BO4" i="14"/>
  <c r="BO2" i="14"/>
  <c r="BO5" i="14"/>
  <c r="BK2" i="14"/>
  <c r="BK4" i="14"/>
  <c r="BG4" i="14"/>
  <c r="BG2" i="14"/>
  <c r="BG5" i="14"/>
  <c r="BC4" i="14"/>
  <c r="AY6" i="14"/>
  <c r="AY4" i="14"/>
  <c r="AY5" i="14"/>
  <c r="AU6" i="14"/>
  <c r="AU4" i="14"/>
  <c r="AU5" i="14"/>
  <c r="AQ7" i="14"/>
  <c r="AQ5" i="14"/>
  <c r="AQ2" i="14"/>
  <c r="AM6" i="14"/>
  <c r="AM4" i="14"/>
  <c r="AM5" i="14"/>
  <c r="AI4" i="14"/>
  <c r="AI7" i="14"/>
  <c r="AI5" i="14"/>
  <c r="AI2" i="14"/>
  <c r="AE2" i="14"/>
  <c r="AE4" i="14"/>
  <c r="AA2" i="14"/>
  <c r="AA7" i="14"/>
  <c r="AA5" i="14"/>
  <c r="W6" i="14"/>
  <c r="W4" i="14"/>
  <c r="W5" i="14"/>
  <c r="S6" i="14"/>
  <c r="S4" i="14"/>
  <c r="S2" i="14"/>
  <c r="S7" i="14"/>
  <c r="S5" i="14"/>
  <c r="O7" i="14"/>
  <c r="O5" i="14"/>
  <c r="O2" i="14"/>
  <c r="K2" i="14"/>
  <c r="K4" i="14"/>
  <c r="F42" i="10"/>
  <c r="G6" i="14"/>
  <c r="G4" i="14"/>
  <c r="G7" i="14"/>
  <c r="G5" i="14"/>
  <c r="G2" i="14"/>
  <c r="C3" i="14"/>
  <c r="C4" i="14"/>
  <c r="C2" i="14"/>
  <c r="C5" i="14"/>
  <c r="F30" i="10"/>
  <c r="I17" i="10"/>
  <c r="I22" i="10"/>
  <c r="I35" i="10"/>
  <c r="I39" i="10"/>
  <c r="I21" i="10"/>
  <c r="I25" i="10"/>
  <c r="I34" i="10"/>
  <c r="I38" i="10"/>
  <c r="I11" i="10"/>
  <c r="I15" i="10"/>
  <c r="I23" i="10"/>
  <c r="I32" i="10"/>
  <c r="I36" i="10"/>
  <c r="I40" i="10"/>
  <c r="I8" i="10"/>
  <c r="I12" i="10"/>
  <c r="I20" i="10"/>
  <c r="I24" i="10"/>
  <c r="I33" i="10"/>
  <c r="I37" i="10"/>
  <c r="I41" i="10"/>
  <c r="I9" i="10"/>
  <c r="I13" i="10"/>
  <c r="I10" i="10"/>
  <c r="K10" i="10" s="1"/>
  <c r="I14" i="10"/>
  <c r="F18" i="10"/>
  <c r="AZ42" i="12"/>
  <c r="AZ40" i="12"/>
  <c r="CX8" i="12"/>
  <c r="CX4" i="12"/>
  <c r="CX3" i="12"/>
  <c r="CX5" i="12"/>
  <c r="CX6" i="12"/>
  <c r="CX7" i="12"/>
  <c r="CX9" i="12"/>
  <c r="CX10" i="12"/>
  <c r="CX11" i="12"/>
  <c r="CX12" i="12"/>
  <c r="CX13" i="12"/>
  <c r="CX14" i="12"/>
  <c r="CX15" i="12"/>
  <c r="CX16" i="12"/>
  <c r="CX2" i="12"/>
  <c r="CT3" i="12"/>
  <c r="CT4" i="12"/>
  <c r="CT5" i="12"/>
  <c r="CT6" i="12"/>
  <c r="CT7" i="12"/>
  <c r="CT8" i="12"/>
  <c r="CT9" i="12"/>
  <c r="CT10" i="12"/>
  <c r="CT11" i="12"/>
  <c r="CT2" i="12"/>
  <c r="CP12" i="12"/>
  <c r="CP8" i="12"/>
  <c r="CP3" i="12"/>
  <c r="CP4" i="12"/>
  <c r="CP5" i="12"/>
  <c r="CP6" i="12"/>
  <c r="CP7" i="12"/>
  <c r="CP9" i="12"/>
  <c r="CP10" i="12"/>
  <c r="CP11" i="12"/>
  <c r="CP13" i="12"/>
  <c r="CP14" i="12"/>
  <c r="CP15" i="12"/>
  <c r="CP16" i="12"/>
  <c r="CP17" i="12"/>
  <c r="CP18" i="12"/>
  <c r="CP2" i="12"/>
  <c r="CL3" i="12"/>
  <c r="CL4" i="12"/>
  <c r="CL5" i="12"/>
  <c r="CL6" i="12"/>
  <c r="CL7" i="12"/>
  <c r="CL8" i="12"/>
  <c r="CL2" i="12"/>
  <c r="CH3" i="12"/>
  <c r="CH4" i="12"/>
  <c r="CH5" i="12"/>
  <c r="CH6" i="12"/>
  <c r="CH7" i="12"/>
  <c r="CH8" i="12"/>
  <c r="CH9" i="12"/>
  <c r="CH10" i="12"/>
  <c r="CH11" i="12"/>
  <c r="CH12" i="12"/>
  <c r="CH13" i="12"/>
  <c r="CH14" i="12"/>
  <c r="CH15" i="12"/>
  <c r="CH16" i="12"/>
  <c r="CH17" i="12"/>
  <c r="CH18" i="12"/>
  <c r="CH19" i="12"/>
  <c r="CH2" i="12"/>
  <c r="CD3" i="12"/>
  <c r="CD4" i="12"/>
  <c r="CD5" i="12"/>
  <c r="CD6" i="12"/>
  <c r="CD7" i="12"/>
  <c r="CD8" i="12"/>
  <c r="CD9" i="12"/>
  <c r="CD10" i="12"/>
  <c r="CD11" i="12"/>
  <c r="CD12" i="12"/>
  <c r="CD13" i="12"/>
  <c r="CD14" i="12"/>
  <c r="CD2" i="12"/>
  <c r="BZ3" i="12"/>
  <c r="BZ4" i="12"/>
  <c r="BZ5" i="12"/>
  <c r="BZ2" i="12"/>
  <c r="BV3" i="12"/>
  <c r="BV4" i="12"/>
  <c r="BV5" i="12"/>
  <c r="BV6" i="12"/>
  <c r="BV7" i="12"/>
  <c r="BV8" i="12"/>
  <c r="BV9" i="12"/>
  <c r="BV10" i="12"/>
  <c r="BV11" i="12"/>
  <c r="BV12" i="12"/>
  <c r="BV13" i="12"/>
  <c r="BV14" i="12"/>
  <c r="BV2" i="12"/>
  <c r="BR3" i="12"/>
  <c r="BR4" i="12"/>
  <c r="BR5" i="12"/>
  <c r="BR6" i="12"/>
  <c r="BR7" i="12"/>
  <c r="BR8" i="12"/>
  <c r="BR9" i="12"/>
  <c r="BR10" i="12"/>
  <c r="BR11" i="12"/>
  <c r="BR2" i="12"/>
  <c r="BN3" i="12"/>
  <c r="BN4" i="12"/>
  <c r="BN5" i="12"/>
  <c r="BN6" i="12"/>
  <c r="BN7" i="12"/>
  <c r="BN8" i="12"/>
  <c r="BN9" i="12"/>
  <c r="BN10" i="12"/>
  <c r="BN11" i="12"/>
  <c r="BN12" i="12"/>
  <c r="BN13" i="12"/>
  <c r="BN14" i="12"/>
  <c r="BN15" i="12"/>
  <c r="BN2" i="12"/>
  <c r="BJ3" i="12"/>
  <c r="BJ4" i="12"/>
  <c r="BJ5" i="12"/>
  <c r="BJ6" i="12"/>
  <c r="BJ7" i="12"/>
  <c r="BJ8" i="12"/>
  <c r="BJ9" i="12"/>
  <c r="BJ10" i="12"/>
  <c r="BJ11" i="12"/>
  <c r="BJ12" i="12"/>
  <c r="BJ13" i="12"/>
  <c r="BJ14" i="12"/>
  <c r="BJ15" i="12"/>
  <c r="BJ2" i="12"/>
  <c r="BF3" i="12"/>
  <c r="BF4" i="12"/>
  <c r="BF5" i="12"/>
  <c r="BF6" i="12"/>
  <c r="BF7" i="12"/>
  <c r="BF8" i="12"/>
  <c r="BF9" i="12"/>
  <c r="BF10" i="12"/>
  <c r="BF11" i="12"/>
  <c r="BF12" i="12"/>
  <c r="BF13" i="12"/>
  <c r="BF14" i="12"/>
  <c r="BF15" i="12"/>
  <c r="BF16" i="12"/>
  <c r="BF17" i="12"/>
  <c r="BF18" i="12"/>
  <c r="BF19" i="12"/>
  <c r="BF20" i="12"/>
  <c r="BF21" i="12"/>
  <c r="BF22" i="12"/>
  <c r="BF23" i="12"/>
  <c r="BF24" i="12"/>
  <c r="BF25" i="12"/>
  <c r="BF26" i="12"/>
  <c r="BF2" i="12"/>
  <c r="BB3" i="12"/>
  <c r="BB4" i="12"/>
  <c r="BB5" i="12"/>
  <c r="BB6" i="12"/>
  <c r="BB7" i="12"/>
  <c r="BB8" i="12"/>
  <c r="BB9" i="12"/>
  <c r="BB10" i="12"/>
  <c r="BB11" i="12"/>
  <c r="BB12" i="12"/>
  <c r="BB13" i="12"/>
  <c r="BB14" i="12"/>
  <c r="BB15" i="12"/>
  <c r="BB16" i="12"/>
  <c r="BB17" i="12"/>
  <c r="BB18" i="12"/>
  <c r="BB19" i="12"/>
  <c r="BB20" i="12"/>
  <c r="BB21" i="12"/>
  <c r="BB22" i="12"/>
  <c r="BB23" i="12"/>
  <c r="BB2" i="12"/>
  <c r="BB23" i="8"/>
  <c r="AX4" i="12"/>
  <c r="AX3" i="12"/>
  <c r="AX5" i="12"/>
  <c r="AX6" i="12"/>
  <c r="AX7" i="12"/>
  <c r="AX8" i="12"/>
  <c r="AX9" i="12"/>
  <c r="AX10" i="12"/>
  <c r="AX11" i="12"/>
  <c r="AX12" i="12"/>
  <c r="AX13" i="12"/>
  <c r="AX14" i="12"/>
  <c r="AX15" i="12"/>
  <c r="AX16" i="12"/>
  <c r="AX17" i="12"/>
  <c r="AX2" i="12"/>
  <c r="AT3" i="12"/>
  <c r="AT4" i="12"/>
  <c r="AT5" i="12"/>
  <c r="AT6" i="12"/>
  <c r="AT7" i="12"/>
  <c r="AT8" i="12"/>
  <c r="AT9" i="12"/>
  <c r="AT2" i="12"/>
  <c r="AP3" i="12"/>
  <c r="AP4" i="12"/>
  <c r="AP5" i="12"/>
  <c r="AP6" i="12"/>
  <c r="AP7" i="12"/>
  <c r="AP8" i="12"/>
  <c r="AP9" i="12"/>
  <c r="AP10" i="12"/>
  <c r="AP11" i="12"/>
  <c r="AP2" i="12"/>
  <c r="AL3" i="12"/>
  <c r="AL4" i="12"/>
  <c r="AL5" i="12"/>
  <c r="AL6" i="12"/>
  <c r="AL7" i="12"/>
  <c r="AL8" i="12"/>
  <c r="AL2" i="12"/>
  <c r="AH3" i="12"/>
  <c r="AH4" i="12"/>
  <c r="AH5" i="12"/>
  <c r="AH6" i="12"/>
  <c r="AH2" i="12"/>
  <c r="AD3" i="12"/>
  <c r="AD4" i="12"/>
  <c r="AD5" i="12"/>
  <c r="AD6" i="12"/>
  <c r="AD7" i="12"/>
  <c r="AD8" i="12"/>
  <c r="AD9" i="12"/>
  <c r="AD10" i="12"/>
  <c r="AD11" i="12"/>
  <c r="AD12" i="12"/>
  <c r="AD13" i="12"/>
  <c r="AD14" i="12"/>
  <c r="AD15" i="12"/>
  <c r="AD16" i="12"/>
  <c r="AD17" i="12"/>
  <c r="AD2" i="12"/>
  <c r="Z22" i="12"/>
  <c r="Z7" i="12"/>
  <c r="Z3" i="12"/>
  <c r="Z4" i="12"/>
  <c r="Z5" i="12"/>
  <c r="Z6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3" i="12"/>
  <c r="Z24" i="12"/>
  <c r="Z25" i="12"/>
  <c r="Z26" i="12"/>
  <c r="Z27" i="12"/>
  <c r="Z28" i="12"/>
  <c r="Z29" i="12"/>
  <c r="Z30" i="12"/>
  <c r="Z2" i="12"/>
  <c r="V21" i="12"/>
  <c r="V6" i="12"/>
  <c r="V2" i="12"/>
  <c r="V3" i="12"/>
  <c r="V4" i="12"/>
  <c r="V5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R3" i="12"/>
  <c r="R4" i="12"/>
  <c r="R5" i="12"/>
  <c r="R6" i="12"/>
  <c r="R7" i="12"/>
  <c r="R8" i="12"/>
  <c r="R9" i="12"/>
  <c r="R10" i="12"/>
  <c r="R11" i="12"/>
  <c r="R12" i="12"/>
  <c r="R2" i="12"/>
  <c r="N7" i="12"/>
  <c r="N2" i="12"/>
  <c r="B2" i="12"/>
  <c r="N3" i="12"/>
  <c r="N4" i="12"/>
  <c r="N5" i="12"/>
  <c r="N6" i="12"/>
  <c r="N8" i="12"/>
  <c r="J3" i="12"/>
  <c r="J4" i="12"/>
  <c r="J5" i="12"/>
  <c r="J6" i="12"/>
  <c r="J7" i="12"/>
  <c r="J8" i="12"/>
  <c r="J9" i="12"/>
  <c r="J10" i="12"/>
  <c r="J2" i="12"/>
  <c r="F3" i="12"/>
  <c r="F4" i="12"/>
  <c r="F5" i="12"/>
  <c r="F6" i="12"/>
  <c r="F2" i="12"/>
  <c r="B10" i="12"/>
  <c r="B6" i="12"/>
  <c r="B3" i="12"/>
  <c r="B8" i="12"/>
  <c r="F41" i="9" a="1"/>
  <c r="F41" i="9" s="1"/>
  <c r="D41" i="9" a="1"/>
  <c r="D41" i="9" s="1"/>
  <c r="C41" i="9" a="1"/>
  <c r="C41" i="9" s="1"/>
  <c r="F40" i="9" a="1"/>
  <c r="F40" i="9" s="1"/>
  <c r="D40" i="9" a="1"/>
  <c r="D40" i="9" s="1"/>
  <c r="C40" i="9" a="1"/>
  <c r="C40" i="9" s="1"/>
  <c r="F39" i="9" a="1"/>
  <c r="F39" i="9" s="1"/>
  <c r="D39" i="9" a="1"/>
  <c r="D39" i="9" s="1"/>
  <c r="C39" i="9" a="1"/>
  <c r="C39" i="9" s="1"/>
  <c r="F38" i="9" a="1"/>
  <c r="F38" i="9" s="1"/>
  <c r="D38" i="9" a="1"/>
  <c r="D38" i="9" s="1"/>
  <c r="C38" i="9" a="1"/>
  <c r="C38" i="9" s="1"/>
  <c r="F37" i="9" a="1"/>
  <c r="F37" i="9" s="1"/>
  <c r="D37" i="9" a="1"/>
  <c r="D37" i="9" s="1"/>
  <c r="C37" i="9" a="1"/>
  <c r="C37" i="9" s="1"/>
  <c r="F36" i="9" a="1"/>
  <c r="F36" i="9" s="1"/>
  <c r="D36" i="9" a="1"/>
  <c r="D36" i="9" s="1"/>
  <c r="C36" i="9" a="1"/>
  <c r="C36" i="9" s="1"/>
  <c r="F35" i="9" a="1"/>
  <c r="F35" i="9" s="1"/>
  <c r="D35" i="9" a="1"/>
  <c r="D35" i="9" s="1"/>
  <c r="C35" i="9" a="1"/>
  <c r="C35" i="9" s="1"/>
  <c r="F34" i="9" a="1"/>
  <c r="F34" i="9" s="1"/>
  <c r="D34" i="9" a="1"/>
  <c r="D34" i="9" s="1"/>
  <c r="C34" i="9" a="1"/>
  <c r="C34" i="9" s="1"/>
  <c r="F33" i="9" a="1"/>
  <c r="F33" i="9" s="1"/>
  <c r="D33" i="9" a="1"/>
  <c r="D33" i="9" s="1"/>
  <c r="C33" i="9" a="1"/>
  <c r="C33" i="9" s="1"/>
  <c r="F32" i="9" a="1"/>
  <c r="F32" i="9" s="1"/>
  <c r="D32" i="9" a="1"/>
  <c r="D32" i="9" s="1"/>
  <c r="C32" i="9" a="1"/>
  <c r="C32" i="9" s="1"/>
  <c r="F29" i="9" a="1"/>
  <c r="F29" i="9" s="1"/>
  <c r="D29" i="9" a="1"/>
  <c r="D29" i="9" s="1"/>
  <c r="C29" i="9" a="1"/>
  <c r="C29" i="9" s="1"/>
  <c r="F28" i="9" a="1"/>
  <c r="F28" i="9" s="1"/>
  <c r="D28" i="9" a="1"/>
  <c r="D28" i="9" s="1"/>
  <c r="C28" i="9" a="1"/>
  <c r="C28" i="9" s="1"/>
  <c r="F27" i="9" a="1"/>
  <c r="F27" i="9" s="1"/>
  <c r="D27" i="9" a="1"/>
  <c r="D27" i="9" s="1"/>
  <c r="C27" i="9" a="1"/>
  <c r="C27" i="9" s="1"/>
  <c r="F26" i="9" a="1"/>
  <c r="F26" i="9" s="1"/>
  <c r="D26" i="9" a="1"/>
  <c r="D26" i="9" s="1"/>
  <c r="C26" i="9" a="1"/>
  <c r="C26" i="9" s="1"/>
  <c r="F25" i="9" a="1"/>
  <c r="F25" i="9" s="1"/>
  <c r="D25" i="9" a="1"/>
  <c r="D25" i="9" s="1"/>
  <c r="C25" i="9" a="1"/>
  <c r="C25" i="9" s="1"/>
  <c r="F24" i="9" a="1"/>
  <c r="F24" i="9" s="1"/>
  <c r="D24" i="9" a="1"/>
  <c r="D24" i="9" s="1"/>
  <c r="C24" i="9" a="1"/>
  <c r="C24" i="9" s="1"/>
  <c r="F23" i="9" a="1"/>
  <c r="F23" i="9" s="1"/>
  <c r="D23" i="9" a="1"/>
  <c r="D23" i="9" s="1"/>
  <c r="C23" i="9" a="1"/>
  <c r="C23" i="9" s="1"/>
  <c r="F22" i="9" a="1"/>
  <c r="F22" i="9" s="1"/>
  <c r="D22" i="9" a="1"/>
  <c r="D22" i="9" s="1"/>
  <c r="C22" i="9" a="1"/>
  <c r="C22" i="9" s="1"/>
  <c r="F21" i="9" a="1"/>
  <c r="F21" i="9" s="1"/>
  <c r="D21" i="9" a="1"/>
  <c r="D21" i="9" s="1"/>
  <c r="C21" i="9" a="1"/>
  <c r="C21" i="9" s="1"/>
  <c r="F20" i="9" a="1"/>
  <c r="F20" i="9" s="1"/>
  <c r="D20" i="9" a="1"/>
  <c r="D20" i="9" s="1"/>
  <c r="C20" i="9" a="1"/>
  <c r="C20" i="9" s="1"/>
  <c r="F2" i="8"/>
  <c r="B4" i="12"/>
  <c r="B5" i="12"/>
  <c r="B7" i="12"/>
  <c r="B9" i="12"/>
  <c r="B11" i="12"/>
  <c r="B12" i="12"/>
  <c r="F17" i="9" a="1"/>
  <c r="F17" i="9" s="1"/>
  <c r="E17" i="9" a="1"/>
  <c r="E17" i="9" s="1"/>
  <c r="D17" i="9" a="1"/>
  <c r="D17" i="9" s="1"/>
  <c r="C17" i="9" a="1"/>
  <c r="C17" i="9" s="1"/>
  <c r="F16" i="9" a="1"/>
  <c r="F16" i="9" s="1"/>
  <c r="E16" i="9" a="1"/>
  <c r="E16" i="9" s="1"/>
  <c r="D16" i="9" a="1"/>
  <c r="D16" i="9" s="1"/>
  <c r="C16" i="9" a="1"/>
  <c r="C16" i="9" s="1"/>
  <c r="F15" i="9" a="1"/>
  <c r="F15" i="9" s="1"/>
  <c r="E15" i="9" a="1"/>
  <c r="E15" i="9" s="1"/>
  <c r="D15" i="9" a="1"/>
  <c r="D15" i="9" s="1"/>
  <c r="C15" i="9" a="1"/>
  <c r="C15" i="9" s="1"/>
  <c r="F14" i="9" a="1"/>
  <c r="F14" i="9" s="1"/>
  <c r="E14" i="9" a="1"/>
  <c r="E14" i="9" s="1"/>
  <c r="D14" i="9" a="1"/>
  <c r="D14" i="9" s="1"/>
  <c r="C14" i="9" a="1"/>
  <c r="C14" i="9" s="1"/>
  <c r="F13" i="9" a="1"/>
  <c r="F13" i="9" s="1"/>
  <c r="E13" i="9" a="1"/>
  <c r="E13" i="9" s="1"/>
  <c r="D13" i="9" a="1"/>
  <c r="D13" i="9" s="1"/>
  <c r="C13" i="9" a="1"/>
  <c r="C13" i="9" s="1"/>
  <c r="F12" i="9" a="1"/>
  <c r="F12" i="9" s="1"/>
  <c r="E12" i="9" a="1"/>
  <c r="E12" i="9" s="1"/>
  <c r="D12" i="9" a="1"/>
  <c r="D12" i="9" s="1"/>
  <c r="C12" i="9" a="1"/>
  <c r="C12" i="9" s="1"/>
  <c r="F11" i="9" a="1"/>
  <c r="F11" i="9" s="1"/>
  <c r="E11" i="9" a="1"/>
  <c r="E11" i="9" s="1"/>
  <c r="D11" i="9" a="1"/>
  <c r="D11" i="9" s="1"/>
  <c r="C11" i="9" a="1"/>
  <c r="C11" i="9" s="1"/>
  <c r="F10" i="9" a="1"/>
  <c r="F10" i="9" s="1"/>
  <c r="E10" i="9" a="1"/>
  <c r="E10" i="9" s="1"/>
  <c r="D10" i="9" a="1"/>
  <c r="D10" i="9" s="1"/>
  <c r="C10" i="9" a="1"/>
  <c r="C10" i="9" s="1"/>
  <c r="F9" i="9" a="1"/>
  <c r="F9" i="9" s="1"/>
  <c r="E9" i="9" a="1"/>
  <c r="E9" i="9" s="1"/>
  <c r="D9" i="9" a="1"/>
  <c r="D9" i="9" s="1"/>
  <c r="C9" i="9" a="1"/>
  <c r="C9" i="9" s="1"/>
  <c r="F8" i="9" a="1"/>
  <c r="F8" i="9" s="1"/>
  <c r="E8" i="9" a="1"/>
  <c r="E8" i="9" s="1"/>
  <c r="D8" i="9" a="1"/>
  <c r="D8" i="9" s="1"/>
  <c r="C8" i="9" a="1"/>
  <c r="C8" i="9" s="1"/>
  <c r="H41" i="9"/>
  <c r="H40" i="9"/>
  <c r="H39" i="9"/>
  <c r="H38" i="9"/>
  <c r="H37" i="9"/>
  <c r="H36" i="9"/>
  <c r="H35" i="9"/>
  <c r="H34" i="9"/>
  <c r="H33" i="9"/>
  <c r="H32" i="9"/>
  <c r="H29" i="9"/>
  <c r="H28" i="9"/>
  <c r="H27" i="9"/>
  <c r="H26" i="9"/>
  <c r="H25" i="9"/>
  <c r="H24" i="9"/>
  <c r="H23" i="9"/>
  <c r="H22" i="9"/>
  <c r="H21" i="9"/>
  <c r="H20" i="9"/>
  <c r="H17" i="9"/>
  <c r="H16" i="9"/>
  <c r="H15" i="9"/>
  <c r="H14" i="9"/>
  <c r="H13" i="9"/>
  <c r="H12" i="9"/>
  <c r="H11" i="9"/>
  <c r="H10" i="9"/>
  <c r="H9" i="9"/>
  <c r="H8" i="9"/>
  <c r="I44" i="10" l="1"/>
  <c r="J49" i="10" s="1"/>
  <c r="J9" i="10"/>
  <c r="K9" i="10"/>
  <c r="K8" i="10"/>
  <c r="J8" i="10"/>
  <c r="F43" i="10"/>
  <c r="AM8" i="12"/>
  <c r="CE14" i="12"/>
  <c r="BC10" i="12"/>
  <c r="BG22" i="12"/>
  <c r="AQ8" i="12"/>
  <c r="AM7" i="12"/>
  <c r="AM6" i="12"/>
  <c r="BK4" i="12"/>
  <c r="BS8" i="12"/>
  <c r="I22" i="9"/>
  <c r="I26" i="9"/>
  <c r="AQ4" i="12"/>
  <c r="BK8" i="12"/>
  <c r="BK6" i="12"/>
  <c r="BS4" i="12"/>
  <c r="BC16" i="12"/>
  <c r="BC8" i="12"/>
  <c r="BO4" i="12"/>
  <c r="CE6" i="12"/>
  <c r="AQ10" i="12"/>
  <c r="BG8" i="12"/>
  <c r="BO8" i="12"/>
  <c r="BO6" i="12"/>
  <c r="CA4" i="12"/>
  <c r="CE10" i="12"/>
  <c r="I14" i="9"/>
  <c r="I16" i="9"/>
  <c r="I12" i="9"/>
  <c r="I24" i="9"/>
  <c r="I28" i="9"/>
  <c r="AI2" i="12"/>
  <c r="AI3" i="12"/>
  <c r="AQ6" i="12"/>
  <c r="BC20" i="12"/>
  <c r="BC12" i="12"/>
  <c r="BC4" i="12"/>
  <c r="BG26" i="12"/>
  <c r="BG18" i="12"/>
  <c r="BG10" i="12"/>
  <c r="BK10" i="12"/>
  <c r="BO10" i="12"/>
  <c r="BS6" i="12"/>
  <c r="CA5" i="12"/>
  <c r="CA3" i="12"/>
  <c r="CE8" i="12"/>
  <c r="CE3" i="12"/>
  <c r="CU3" i="12"/>
  <c r="I23" i="9"/>
  <c r="I27" i="9"/>
  <c r="AM2" i="12"/>
  <c r="AM4" i="12"/>
  <c r="AQ3" i="12"/>
  <c r="AU3" i="12"/>
  <c r="AY6" i="12"/>
  <c r="BC22" i="12"/>
  <c r="BC14" i="12"/>
  <c r="BC6" i="12"/>
  <c r="BG20" i="12"/>
  <c r="BG12" i="12"/>
  <c r="BG4" i="12"/>
  <c r="BK12" i="12"/>
  <c r="BO12" i="12"/>
  <c r="BS3" i="12"/>
  <c r="CM3" i="12"/>
  <c r="AE6" i="12"/>
  <c r="BC3" i="12"/>
  <c r="BG14" i="12"/>
  <c r="BG6" i="12"/>
  <c r="BG3" i="12"/>
  <c r="BK14" i="12"/>
  <c r="BO14" i="12"/>
  <c r="BS10" i="12"/>
  <c r="BW3" i="12"/>
  <c r="CE2" i="12"/>
  <c r="CE12" i="12"/>
  <c r="CE4" i="12"/>
  <c r="CI3" i="12"/>
  <c r="I25" i="9"/>
  <c r="I29" i="9"/>
  <c r="AE3" i="12"/>
  <c r="AM3" i="12"/>
  <c r="BC18" i="12"/>
  <c r="BG24" i="12"/>
  <c r="BG16" i="12"/>
  <c r="BK3" i="12"/>
  <c r="BO3" i="12"/>
  <c r="CY3" i="12"/>
  <c r="CY2" i="12"/>
  <c r="CY16" i="12"/>
  <c r="CY14" i="12"/>
  <c r="CY12" i="12"/>
  <c r="CY10" i="12"/>
  <c r="CY8" i="12"/>
  <c r="CY6" i="12"/>
  <c r="CY4" i="12"/>
  <c r="CY15" i="12"/>
  <c r="CY13" i="12"/>
  <c r="CY11" i="12"/>
  <c r="CY9" i="12"/>
  <c r="CY7" i="12"/>
  <c r="CY5" i="12"/>
  <c r="CU10" i="12"/>
  <c r="CU8" i="12"/>
  <c r="CU6" i="12"/>
  <c r="CU4" i="12"/>
  <c r="CU2" i="12"/>
  <c r="CU11" i="12"/>
  <c r="CU9" i="12"/>
  <c r="CU7" i="12"/>
  <c r="CU5" i="12"/>
  <c r="CQ3" i="12"/>
  <c r="CQ2" i="12"/>
  <c r="CQ18" i="12"/>
  <c r="CQ16" i="12"/>
  <c r="CQ14" i="12"/>
  <c r="CQ12" i="12"/>
  <c r="CQ10" i="12"/>
  <c r="CQ8" i="12"/>
  <c r="CQ6" i="12"/>
  <c r="CQ4" i="12"/>
  <c r="CQ17" i="12"/>
  <c r="CQ15" i="12"/>
  <c r="CQ13" i="12"/>
  <c r="CQ11" i="12"/>
  <c r="CQ9" i="12"/>
  <c r="CQ7" i="12"/>
  <c r="CQ5" i="12"/>
  <c r="CM8" i="12"/>
  <c r="CM6" i="12"/>
  <c r="CM4" i="12"/>
  <c r="CM7" i="12"/>
  <c r="CM5" i="12"/>
  <c r="CM2" i="12"/>
  <c r="CI18" i="12"/>
  <c r="CI16" i="12"/>
  <c r="CI14" i="12"/>
  <c r="CI12" i="12"/>
  <c r="CI10" i="12"/>
  <c r="CI8" i="12"/>
  <c r="CI6" i="12"/>
  <c r="CI4" i="12"/>
  <c r="CI2" i="12"/>
  <c r="CI19" i="12"/>
  <c r="CI17" i="12"/>
  <c r="CI15" i="12"/>
  <c r="CI13" i="12"/>
  <c r="CI11" i="12"/>
  <c r="CI9" i="12"/>
  <c r="CI7" i="12"/>
  <c r="CI5" i="12"/>
  <c r="CE13" i="12"/>
  <c r="CE11" i="12"/>
  <c r="CE9" i="12"/>
  <c r="CE7" i="12"/>
  <c r="CE5" i="12"/>
  <c r="CA2" i="12"/>
  <c r="BW14" i="12"/>
  <c r="BW12" i="12"/>
  <c r="BW10" i="12"/>
  <c r="BW8" i="12"/>
  <c r="BW6" i="12"/>
  <c r="BW4" i="12"/>
  <c r="BW13" i="12"/>
  <c r="BW11" i="12"/>
  <c r="BW9" i="12"/>
  <c r="BW7" i="12"/>
  <c r="BW5" i="12"/>
  <c r="BW2" i="12"/>
  <c r="BS2" i="12"/>
  <c r="BS11" i="12"/>
  <c r="BS9" i="12"/>
  <c r="BS7" i="12"/>
  <c r="BS5" i="12"/>
  <c r="BO2" i="12"/>
  <c r="BO15" i="12"/>
  <c r="BO13" i="12"/>
  <c r="BO11" i="12"/>
  <c r="BO9" i="12"/>
  <c r="BO7" i="12"/>
  <c r="BO5" i="12"/>
  <c r="BK2" i="12"/>
  <c r="BK15" i="12"/>
  <c r="BK13" i="12"/>
  <c r="BK11" i="12"/>
  <c r="BK9" i="12"/>
  <c r="BK7" i="12"/>
  <c r="BK5" i="12"/>
  <c r="BG25" i="12"/>
  <c r="BG23" i="12"/>
  <c r="BG21" i="12"/>
  <c r="BG19" i="12"/>
  <c r="BG17" i="12"/>
  <c r="BG15" i="12"/>
  <c r="BG13" i="12"/>
  <c r="BG11" i="12"/>
  <c r="BG9" i="12"/>
  <c r="BG7" i="12"/>
  <c r="BG5" i="12"/>
  <c r="BG2" i="12"/>
  <c r="BC2" i="12"/>
  <c r="BC23" i="12"/>
  <c r="BC21" i="12"/>
  <c r="BC19" i="12"/>
  <c r="BC17" i="12"/>
  <c r="BC15" i="12"/>
  <c r="BC13" i="12"/>
  <c r="BC11" i="12"/>
  <c r="BC9" i="12"/>
  <c r="BC7" i="12"/>
  <c r="BC5" i="12"/>
  <c r="AY10" i="12"/>
  <c r="AY16" i="12"/>
  <c r="AY8" i="12"/>
  <c r="AY12" i="12"/>
  <c r="AY4" i="12"/>
  <c r="AY14" i="12"/>
  <c r="AY3" i="12"/>
  <c r="AY2" i="12"/>
  <c r="AY17" i="12"/>
  <c r="AY15" i="12"/>
  <c r="AY13" i="12"/>
  <c r="AY11" i="12"/>
  <c r="AY9" i="12"/>
  <c r="AY7" i="12"/>
  <c r="AY5" i="12"/>
  <c r="AU8" i="12"/>
  <c r="AU6" i="12"/>
  <c r="AU4" i="12"/>
  <c r="AU2" i="12"/>
  <c r="AU9" i="12"/>
  <c r="AU7" i="12"/>
  <c r="AU5" i="12"/>
  <c r="AQ2" i="12"/>
  <c r="AQ11" i="12"/>
  <c r="AQ9" i="12"/>
  <c r="AQ7" i="12"/>
  <c r="AQ5" i="12"/>
  <c r="AM5" i="12"/>
  <c r="AI6" i="12"/>
  <c r="AI4" i="12"/>
  <c r="AI5" i="12"/>
  <c r="AE16" i="12"/>
  <c r="AE12" i="12"/>
  <c r="AE10" i="12"/>
  <c r="AE8" i="12"/>
  <c r="AE4" i="12"/>
  <c r="AE2" i="12"/>
  <c r="AE17" i="12"/>
  <c r="AE15" i="12"/>
  <c r="AE13" i="12"/>
  <c r="AE11" i="12"/>
  <c r="AE9" i="12"/>
  <c r="AE7" i="12"/>
  <c r="AE5" i="12"/>
  <c r="AE14" i="12"/>
  <c r="AA16" i="12"/>
  <c r="AA8" i="12"/>
  <c r="AA24" i="12"/>
  <c r="AA14" i="12"/>
  <c r="AA18" i="12"/>
  <c r="AA4" i="12"/>
  <c r="AA2" i="12"/>
  <c r="AA28" i="12"/>
  <c r="AA20" i="12"/>
  <c r="AA12" i="12"/>
  <c r="AA6" i="12"/>
  <c r="AA26" i="12"/>
  <c r="AA10" i="12"/>
  <c r="AA30" i="12"/>
  <c r="AA22" i="12"/>
  <c r="AA3" i="12"/>
  <c r="AA29" i="12"/>
  <c r="AA27" i="12"/>
  <c r="AA25" i="12"/>
  <c r="AA23" i="12"/>
  <c r="AA21" i="12"/>
  <c r="AA19" i="12"/>
  <c r="AA17" i="12"/>
  <c r="AA15" i="12"/>
  <c r="AA13" i="12"/>
  <c r="AA11" i="12"/>
  <c r="AA9" i="12"/>
  <c r="AA7" i="12"/>
  <c r="AA5" i="12"/>
  <c r="S2" i="12"/>
  <c r="S10" i="12"/>
  <c r="S12" i="12"/>
  <c r="S4" i="12"/>
  <c r="S6" i="12"/>
  <c r="S8" i="12"/>
  <c r="S3" i="12"/>
  <c r="W3" i="12"/>
  <c r="W20" i="12"/>
  <c r="W18" i="12"/>
  <c r="W16" i="12"/>
  <c r="W14" i="12"/>
  <c r="W12" i="12"/>
  <c r="W10" i="12"/>
  <c r="W8" i="12"/>
  <c r="W6" i="12"/>
  <c r="W4" i="12"/>
  <c r="W2" i="12"/>
  <c r="W21" i="12"/>
  <c r="W19" i="12"/>
  <c r="W17" i="12"/>
  <c r="W15" i="12"/>
  <c r="W13" i="12"/>
  <c r="W11" i="12"/>
  <c r="W9" i="12"/>
  <c r="W7" i="12"/>
  <c r="W5" i="12"/>
  <c r="S11" i="12"/>
  <c r="S9" i="12"/>
  <c r="S7" i="12"/>
  <c r="S5" i="12"/>
  <c r="O3" i="12"/>
  <c r="O2" i="12"/>
  <c r="O8" i="12"/>
  <c r="O6" i="12"/>
  <c r="O4" i="12"/>
  <c r="O7" i="12"/>
  <c r="O5" i="12"/>
  <c r="K10" i="12"/>
  <c r="K6" i="12"/>
  <c r="K4" i="12"/>
  <c r="G3" i="12"/>
  <c r="G4" i="12"/>
  <c r="K2" i="12"/>
  <c r="K8" i="12"/>
  <c r="K3" i="12"/>
  <c r="K9" i="12"/>
  <c r="K7" i="12"/>
  <c r="K5" i="12"/>
  <c r="G6" i="12"/>
  <c r="G5" i="12"/>
  <c r="G2" i="12"/>
  <c r="C3" i="12"/>
  <c r="C2" i="12"/>
  <c r="C12" i="12"/>
  <c r="C10" i="12"/>
  <c r="C8" i="12"/>
  <c r="C6" i="12"/>
  <c r="C4" i="12"/>
  <c r="C11" i="12"/>
  <c r="C9" i="12"/>
  <c r="C7" i="12"/>
  <c r="C5" i="12"/>
  <c r="F42" i="9"/>
  <c r="F30" i="9"/>
  <c r="I8" i="9"/>
  <c r="I17" i="9"/>
  <c r="I35" i="9"/>
  <c r="I39" i="9"/>
  <c r="I11" i="9"/>
  <c r="I21" i="9"/>
  <c r="I34" i="9"/>
  <c r="I38" i="9"/>
  <c r="I15" i="9"/>
  <c r="I32" i="9"/>
  <c r="I36" i="9"/>
  <c r="I40" i="9"/>
  <c r="I13" i="9"/>
  <c r="I20" i="9"/>
  <c r="I33" i="9"/>
  <c r="I37" i="9"/>
  <c r="I41" i="9"/>
  <c r="I10" i="9"/>
  <c r="I9" i="9"/>
  <c r="F18" i="9"/>
  <c r="AZ42" i="8"/>
  <c r="AZ40" i="8"/>
  <c r="AL48" i="8"/>
  <c r="AK48" i="8"/>
  <c r="AL46" i="8"/>
  <c r="AK46" i="8"/>
  <c r="AL44" i="8"/>
  <c r="AK44" i="8"/>
  <c r="AL42" i="8"/>
  <c r="AK42" i="8"/>
  <c r="AL40" i="8"/>
  <c r="AK40" i="8"/>
  <c r="I44" i="9" l="1"/>
  <c r="I43" i="9" s="1"/>
  <c r="J18" i="10"/>
  <c r="I47" i="10" s="1"/>
  <c r="J47" i="10" s="1"/>
  <c r="K18" i="10"/>
  <c r="F43" i="9"/>
  <c r="AM42" i="8"/>
  <c r="AM46" i="8"/>
  <c r="AM44" i="8"/>
  <c r="AM48" i="8"/>
  <c r="AM40" i="8"/>
  <c r="DF3" i="8"/>
  <c r="DF4" i="8"/>
  <c r="DF5" i="8"/>
  <c r="DF6" i="8"/>
  <c r="DF7" i="8"/>
  <c r="DF8" i="8"/>
  <c r="DF9" i="8"/>
  <c r="DF10" i="8"/>
  <c r="DF11" i="8"/>
  <c r="DF2" i="8"/>
  <c r="DB3" i="8"/>
  <c r="DB4" i="8"/>
  <c r="DB5" i="8"/>
  <c r="DB6" i="8"/>
  <c r="DB2" i="8"/>
  <c r="I48" i="10" l="1"/>
  <c r="J48" i="10" s="1"/>
  <c r="I43" i="10" s="1"/>
  <c r="DC2" i="8"/>
  <c r="DC3" i="8"/>
  <c r="DG3" i="8"/>
  <c r="DG10" i="8"/>
  <c r="DG8" i="8"/>
  <c r="DG6" i="8"/>
  <c r="DG4" i="8"/>
  <c r="DG2" i="8"/>
  <c r="DG11" i="8"/>
  <c r="DG9" i="8"/>
  <c r="DG7" i="8"/>
  <c r="DG5" i="8"/>
  <c r="DC6" i="8"/>
  <c r="DC4" i="8"/>
  <c r="DC5" i="8"/>
  <c r="CX8" i="8"/>
  <c r="CX4" i="8"/>
  <c r="CX3" i="8"/>
  <c r="CX5" i="8"/>
  <c r="CX6" i="8"/>
  <c r="CX7" i="8"/>
  <c r="CX9" i="8"/>
  <c r="CX10" i="8"/>
  <c r="CX11" i="8"/>
  <c r="CX12" i="8"/>
  <c r="CX13" i="8"/>
  <c r="CX14" i="8"/>
  <c r="CX15" i="8"/>
  <c r="CX16" i="8"/>
  <c r="CX2" i="8"/>
  <c r="CT3" i="8"/>
  <c r="CT4" i="8"/>
  <c r="CT5" i="8"/>
  <c r="CT6" i="8"/>
  <c r="CT7" i="8"/>
  <c r="CT8" i="8"/>
  <c r="CT9" i="8"/>
  <c r="CT10" i="8"/>
  <c r="CT11" i="8"/>
  <c r="CT12" i="8"/>
  <c r="CT13" i="8"/>
  <c r="CT14" i="8"/>
  <c r="CT15" i="8"/>
  <c r="CT16" i="8"/>
  <c r="CT17" i="8"/>
  <c r="CT18" i="8"/>
  <c r="CT19" i="8"/>
  <c r="CT2" i="8"/>
  <c r="CP11" i="8"/>
  <c r="CP7" i="8"/>
  <c r="CP3" i="8"/>
  <c r="CP4" i="8"/>
  <c r="CP5" i="8"/>
  <c r="CP6" i="8"/>
  <c r="CP8" i="8"/>
  <c r="CP9" i="8"/>
  <c r="CP10" i="8"/>
  <c r="CP12" i="8"/>
  <c r="CP13" i="8"/>
  <c r="CP14" i="8"/>
  <c r="CP15" i="8"/>
  <c r="CP16" i="8"/>
  <c r="CP17" i="8"/>
  <c r="CP2" i="8"/>
  <c r="CL3" i="8"/>
  <c r="CL4" i="8"/>
  <c r="CL5" i="8"/>
  <c r="CL6" i="8"/>
  <c r="CL7" i="8"/>
  <c r="CL8" i="8"/>
  <c r="CL9" i="8"/>
  <c r="CL10" i="8"/>
  <c r="CL2" i="8"/>
  <c r="CH3" i="8"/>
  <c r="CH4" i="8"/>
  <c r="CH5" i="8"/>
  <c r="CH6" i="8"/>
  <c r="CH7" i="8"/>
  <c r="CH8" i="8"/>
  <c r="CH9" i="8"/>
  <c r="CH10" i="8"/>
  <c r="CH11" i="8"/>
  <c r="CH12" i="8"/>
  <c r="CH13" i="8"/>
  <c r="CH2" i="8"/>
  <c r="CD3" i="8"/>
  <c r="CD4" i="8"/>
  <c r="CD5" i="8"/>
  <c r="CD6" i="8"/>
  <c r="CD7" i="8"/>
  <c r="CD8" i="8"/>
  <c r="CD9" i="8"/>
  <c r="CD10" i="8"/>
  <c r="CD11" i="8"/>
  <c r="CD12" i="8"/>
  <c r="CD13" i="8"/>
  <c r="CD14" i="8"/>
  <c r="CD2" i="8"/>
  <c r="BZ3" i="8"/>
  <c r="BZ4" i="8"/>
  <c r="BZ5" i="8"/>
  <c r="BZ6" i="8"/>
  <c r="BZ7" i="8"/>
  <c r="BZ8" i="8"/>
  <c r="BZ9" i="8"/>
  <c r="BZ10" i="8"/>
  <c r="BZ11" i="8"/>
  <c r="BZ12" i="8"/>
  <c r="BZ13" i="8"/>
  <c r="BZ14" i="8"/>
  <c r="BZ2" i="8"/>
  <c r="BV3" i="8"/>
  <c r="BV4" i="8"/>
  <c r="BV5" i="8"/>
  <c r="BV6" i="8"/>
  <c r="BV7" i="8"/>
  <c r="BV8" i="8"/>
  <c r="BV9" i="8"/>
  <c r="BV10" i="8"/>
  <c r="BV11" i="8"/>
  <c r="BV12" i="8"/>
  <c r="BV13" i="8"/>
  <c r="BV14" i="8"/>
  <c r="BV15" i="8"/>
  <c r="BV2" i="8"/>
  <c r="BR3" i="8"/>
  <c r="BR4" i="8"/>
  <c r="BR5" i="8"/>
  <c r="BR6" i="8"/>
  <c r="BR7" i="8"/>
  <c r="BR8" i="8"/>
  <c r="BR9" i="8"/>
  <c r="BR10" i="8"/>
  <c r="BR11" i="8"/>
  <c r="BR12" i="8"/>
  <c r="BR13" i="8"/>
  <c r="BR14" i="8"/>
  <c r="BR15" i="8"/>
  <c r="BR16" i="8"/>
  <c r="BR17" i="8"/>
  <c r="BR2" i="8"/>
  <c r="BN3" i="8"/>
  <c r="BN4" i="8"/>
  <c r="BN5" i="8"/>
  <c r="BN6" i="8"/>
  <c r="BN7" i="8"/>
  <c r="BN8" i="8"/>
  <c r="BN9" i="8"/>
  <c r="BN10" i="8"/>
  <c r="BN11" i="8"/>
  <c r="BN12" i="8"/>
  <c r="BN13" i="8"/>
  <c r="BN14" i="8"/>
  <c r="BN15" i="8"/>
  <c r="BN16" i="8"/>
  <c r="BN17" i="8"/>
  <c r="BN18" i="8"/>
  <c r="BN19" i="8"/>
  <c r="BN20" i="8"/>
  <c r="BN21" i="8"/>
  <c r="BN22" i="8"/>
  <c r="BN23" i="8"/>
  <c r="BN24" i="8"/>
  <c r="BN25" i="8"/>
  <c r="BN26" i="8"/>
  <c r="BN27" i="8"/>
  <c r="BN28" i="8"/>
  <c r="BN29" i="8"/>
  <c r="BN30" i="8"/>
  <c r="BN31" i="8"/>
  <c r="BN32" i="8"/>
  <c r="BN33" i="8"/>
  <c r="BN2" i="8"/>
  <c r="BJ3" i="8"/>
  <c r="BJ4" i="8"/>
  <c r="BJ5" i="8"/>
  <c r="BJ6" i="8"/>
  <c r="BJ2" i="8"/>
  <c r="BF3" i="8"/>
  <c r="BF4" i="8"/>
  <c r="BF5" i="8"/>
  <c r="BF6" i="8"/>
  <c r="BF7" i="8"/>
  <c r="BF8" i="8"/>
  <c r="BF9" i="8"/>
  <c r="BF10" i="8"/>
  <c r="BF11" i="8"/>
  <c r="BF12" i="8"/>
  <c r="BF13" i="8"/>
  <c r="BF14" i="8"/>
  <c r="BF15" i="8"/>
  <c r="BF16" i="8"/>
  <c r="BF17" i="8"/>
  <c r="BF18" i="8"/>
  <c r="BF19" i="8"/>
  <c r="BF20" i="8"/>
  <c r="BF21" i="8"/>
  <c r="BF22" i="8"/>
  <c r="BF23" i="8"/>
  <c r="BF24" i="8"/>
  <c r="BF2" i="8"/>
  <c r="BB3" i="8"/>
  <c r="BB4" i="8"/>
  <c r="BB5" i="8"/>
  <c r="BB6" i="8"/>
  <c r="BB7" i="8"/>
  <c r="BB8" i="8"/>
  <c r="BB9" i="8"/>
  <c r="BB10" i="8"/>
  <c r="BB11" i="8"/>
  <c r="BB12" i="8"/>
  <c r="BB13" i="8"/>
  <c r="BB14" i="8"/>
  <c r="BB15" i="8"/>
  <c r="BB16" i="8"/>
  <c r="BB17" i="8"/>
  <c r="BB18" i="8"/>
  <c r="BB19" i="8"/>
  <c r="BB20" i="8"/>
  <c r="BB21" i="8"/>
  <c r="BB22" i="8"/>
  <c r="BB2" i="8"/>
  <c r="AX3" i="8"/>
  <c r="AX4" i="8"/>
  <c r="AX5" i="8"/>
  <c r="AX6" i="8"/>
  <c r="AX7" i="8"/>
  <c r="AX8" i="8"/>
  <c r="AX9" i="8"/>
  <c r="AX10" i="8"/>
  <c r="AX11" i="8"/>
  <c r="AX12" i="8"/>
  <c r="AX13" i="8"/>
  <c r="AX14" i="8"/>
  <c r="AX15" i="8"/>
  <c r="AX16" i="8"/>
  <c r="AX2" i="8"/>
  <c r="AT11" i="8"/>
  <c r="AT10" i="8"/>
  <c r="AT3" i="8"/>
  <c r="AT4" i="8"/>
  <c r="AT5" i="8"/>
  <c r="AT6" i="8"/>
  <c r="AT7" i="8"/>
  <c r="AT8" i="8"/>
  <c r="AT9" i="8"/>
  <c r="AT12" i="8"/>
  <c r="AT13" i="8"/>
  <c r="AT14" i="8"/>
  <c r="AT15" i="8"/>
  <c r="AT16" i="8"/>
  <c r="AT17" i="8"/>
  <c r="AT2" i="8"/>
  <c r="AP3" i="8"/>
  <c r="AP4" i="8"/>
  <c r="AP5" i="8"/>
  <c r="AP6" i="8"/>
  <c r="AP7" i="8"/>
  <c r="AP8" i="8"/>
  <c r="AP9" i="8"/>
  <c r="AP10" i="8"/>
  <c r="AP11" i="8"/>
  <c r="AP12" i="8"/>
  <c r="AP13" i="8"/>
  <c r="AP14" i="8"/>
  <c r="AP15" i="8"/>
  <c r="AP16" i="8"/>
  <c r="AP17" i="8"/>
  <c r="AP2" i="8"/>
  <c r="AL3" i="8"/>
  <c r="AL4" i="8"/>
  <c r="AL5" i="8"/>
  <c r="AL6" i="8"/>
  <c r="AL7" i="8"/>
  <c r="AL8" i="8"/>
  <c r="AL9" i="8"/>
  <c r="AL10" i="8"/>
  <c r="AL11" i="8"/>
  <c r="AL12" i="8"/>
  <c r="AL13" i="8"/>
  <c r="AL14" i="8"/>
  <c r="AL15" i="8"/>
  <c r="AL16" i="8"/>
  <c r="AL17" i="8"/>
  <c r="AL18" i="8"/>
  <c r="AL19" i="8"/>
  <c r="AL20" i="8"/>
  <c r="AL21" i="8"/>
  <c r="AL22" i="8"/>
  <c r="AL2" i="8"/>
  <c r="AH22" i="8"/>
  <c r="AH7" i="8"/>
  <c r="AH3" i="8"/>
  <c r="AH4" i="8"/>
  <c r="AH5" i="8"/>
  <c r="AH6" i="8"/>
  <c r="AH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1" i="8"/>
  <c r="AH23" i="8"/>
  <c r="AH24" i="8"/>
  <c r="AH25" i="8"/>
  <c r="AH26" i="8"/>
  <c r="AH27" i="8"/>
  <c r="AH28" i="8"/>
  <c r="AH29" i="8"/>
  <c r="AH30" i="8"/>
  <c r="AH2" i="8"/>
  <c r="AD20" i="8"/>
  <c r="AD6" i="8"/>
  <c r="AD2" i="8"/>
  <c r="AD3" i="8"/>
  <c r="AD4" i="8"/>
  <c r="AD5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Z3" i="8"/>
  <c r="Z4" i="8"/>
  <c r="Z5" i="8"/>
  <c r="Z6" i="8"/>
  <c r="Z7" i="8"/>
  <c r="Z8" i="8"/>
  <c r="Z9" i="8"/>
  <c r="Z10" i="8"/>
  <c r="Z11" i="8"/>
  <c r="Z12" i="8"/>
  <c r="Z13" i="8"/>
  <c r="Z14" i="8"/>
  <c r="Z15" i="8"/>
  <c r="Z2" i="8"/>
  <c r="V7" i="8"/>
  <c r="V2" i="8"/>
  <c r="V3" i="8"/>
  <c r="V4" i="8"/>
  <c r="V5" i="8"/>
  <c r="V6" i="8"/>
  <c r="V8" i="8"/>
  <c r="V9" i="8"/>
  <c r="V10" i="8"/>
  <c r="V11" i="8"/>
  <c r="V12" i="8"/>
  <c r="R11" i="8"/>
  <c r="R3" i="8"/>
  <c r="R4" i="8"/>
  <c r="R5" i="8"/>
  <c r="R6" i="8"/>
  <c r="R7" i="8"/>
  <c r="R8" i="8"/>
  <c r="R9" i="8"/>
  <c r="R10" i="8"/>
  <c r="R12" i="8"/>
  <c r="R13" i="8"/>
  <c r="R14" i="8"/>
  <c r="R2" i="8"/>
  <c r="N3" i="8"/>
  <c r="N4" i="8"/>
  <c r="N5" i="8"/>
  <c r="N6" i="8"/>
  <c r="N7" i="8"/>
  <c r="N8" i="8"/>
  <c r="N9" i="8"/>
  <c r="N10" i="8"/>
  <c r="N11" i="8"/>
  <c r="N12" i="8"/>
  <c r="N2" i="8"/>
  <c r="J9" i="8"/>
  <c r="J2" i="8"/>
  <c r="J3" i="8"/>
  <c r="J4" i="8"/>
  <c r="J5" i="8"/>
  <c r="J6" i="8"/>
  <c r="J7" i="8"/>
  <c r="J8" i="8"/>
  <c r="F37" i="8"/>
  <c r="F19" i="8"/>
  <c r="F15" i="8"/>
  <c r="F10" i="8"/>
  <c r="F6" i="8"/>
  <c r="F3" i="8"/>
  <c r="F18" i="8"/>
  <c r="F8" i="8"/>
  <c r="F2" i="3"/>
  <c r="F4" i="8"/>
  <c r="F5" i="8"/>
  <c r="F7" i="8"/>
  <c r="F9" i="8"/>
  <c r="F11" i="8"/>
  <c r="F12" i="8"/>
  <c r="F13" i="8"/>
  <c r="F14" i="8"/>
  <c r="F16" i="8"/>
  <c r="F17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3" i="6" a="1"/>
  <c r="F33" i="6" s="1"/>
  <c r="F34" i="6" a="1"/>
  <c r="F34" i="6" s="1"/>
  <c r="F35" i="6" a="1"/>
  <c r="F35" i="6" s="1"/>
  <c r="F36" i="6" a="1"/>
  <c r="F36" i="6" s="1"/>
  <c r="F37" i="6" a="1"/>
  <c r="F37" i="6" s="1"/>
  <c r="F38" i="6" a="1"/>
  <c r="F38" i="6" s="1"/>
  <c r="F39" i="6" a="1"/>
  <c r="F39" i="6" s="1"/>
  <c r="F40" i="6" a="1"/>
  <c r="F40" i="6" s="1"/>
  <c r="F41" i="6" a="1"/>
  <c r="F41" i="6" s="1"/>
  <c r="F32" i="6" a="1"/>
  <c r="F32" i="6" s="1"/>
  <c r="D33" i="6" a="1"/>
  <c r="D33" i="6" s="1"/>
  <c r="D34" i="6" a="1"/>
  <c r="D34" i="6" s="1"/>
  <c r="D35" i="6" a="1"/>
  <c r="D35" i="6" s="1"/>
  <c r="D36" i="6" a="1"/>
  <c r="D36" i="6" s="1"/>
  <c r="D37" i="6" a="1"/>
  <c r="D37" i="6" s="1"/>
  <c r="D38" i="6" a="1"/>
  <c r="D38" i="6" s="1"/>
  <c r="D39" i="6" a="1"/>
  <c r="D39" i="6" s="1"/>
  <c r="D40" i="6" a="1"/>
  <c r="D40" i="6" s="1"/>
  <c r="D41" i="6" a="1"/>
  <c r="D41" i="6" s="1"/>
  <c r="D32" i="6" a="1"/>
  <c r="D32" i="6" s="1"/>
  <c r="C33" i="6" a="1"/>
  <c r="C33" i="6" s="1"/>
  <c r="C34" i="6" a="1"/>
  <c r="C34" i="6" s="1"/>
  <c r="C35" i="6" a="1"/>
  <c r="C35" i="6" s="1"/>
  <c r="C36" i="6" a="1"/>
  <c r="C36" i="6" s="1"/>
  <c r="C37" i="6" a="1"/>
  <c r="C37" i="6" s="1"/>
  <c r="C38" i="6" a="1"/>
  <c r="C38" i="6" s="1"/>
  <c r="C39" i="6" a="1"/>
  <c r="C39" i="6" s="1"/>
  <c r="C40" i="6" a="1"/>
  <c r="C40" i="6" s="1"/>
  <c r="C41" i="6" a="1"/>
  <c r="C41" i="6" s="1"/>
  <c r="C32" i="6" a="1"/>
  <c r="C32" i="6" s="1"/>
  <c r="F21" i="6" a="1"/>
  <c r="F21" i="6" s="1"/>
  <c r="F22" i="6" a="1"/>
  <c r="F22" i="6" s="1"/>
  <c r="F23" i="6" a="1"/>
  <c r="F23" i="6" s="1"/>
  <c r="F24" i="6" a="1"/>
  <c r="F24" i="6" s="1"/>
  <c r="F25" i="6" a="1"/>
  <c r="F25" i="6" s="1"/>
  <c r="F26" i="6" a="1"/>
  <c r="F26" i="6" s="1"/>
  <c r="F27" i="6" a="1"/>
  <c r="F27" i="6" s="1"/>
  <c r="F28" i="6" a="1"/>
  <c r="F28" i="6" s="1"/>
  <c r="F29" i="6" a="1"/>
  <c r="F29" i="6" s="1"/>
  <c r="F20" i="6" a="1"/>
  <c r="F20" i="6" s="1"/>
  <c r="D21" i="6" a="1"/>
  <c r="D21" i="6" s="1"/>
  <c r="D22" i="6" a="1"/>
  <c r="D22" i="6" s="1"/>
  <c r="D23" i="6" a="1"/>
  <c r="D23" i="6" s="1"/>
  <c r="D24" i="6" a="1"/>
  <c r="D24" i="6" s="1"/>
  <c r="D25" i="6" a="1"/>
  <c r="D25" i="6" s="1"/>
  <c r="D26" i="6" a="1"/>
  <c r="D26" i="6" s="1"/>
  <c r="D27" i="6" a="1"/>
  <c r="D27" i="6" s="1"/>
  <c r="D28" i="6" a="1"/>
  <c r="D28" i="6" s="1"/>
  <c r="D29" i="6" a="1"/>
  <c r="D29" i="6" s="1"/>
  <c r="D20" i="6" a="1"/>
  <c r="D20" i="6" s="1"/>
  <c r="C21" i="6" a="1"/>
  <c r="C21" i="6" s="1"/>
  <c r="C22" i="6" a="1"/>
  <c r="C22" i="6" s="1"/>
  <c r="C23" i="6" a="1"/>
  <c r="C23" i="6" s="1"/>
  <c r="C24" i="6" a="1"/>
  <c r="C24" i="6" s="1"/>
  <c r="C25" i="6" a="1"/>
  <c r="C25" i="6" s="1"/>
  <c r="C26" i="6" a="1"/>
  <c r="C26" i="6" s="1"/>
  <c r="C27" i="6" a="1"/>
  <c r="C27" i="6" s="1"/>
  <c r="C28" i="6" a="1"/>
  <c r="C28" i="6" s="1"/>
  <c r="C29" i="6" a="1"/>
  <c r="C29" i="6" s="1"/>
  <c r="C20" i="6" a="1"/>
  <c r="C20" i="6" s="1"/>
  <c r="F17" i="6" a="1"/>
  <c r="F17" i="6" s="1"/>
  <c r="E17" i="6" a="1"/>
  <c r="E17" i="6" s="1"/>
  <c r="D17" i="6" a="1"/>
  <c r="D17" i="6" s="1"/>
  <c r="C17" i="6" a="1"/>
  <c r="C17" i="6" s="1"/>
  <c r="F16" i="6" a="1"/>
  <c r="F16" i="6" s="1"/>
  <c r="E16" i="6" a="1"/>
  <c r="E16" i="6" s="1"/>
  <c r="D16" i="6" a="1"/>
  <c r="D16" i="6" s="1"/>
  <c r="C16" i="6" a="1"/>
  <c r="C16" i="6" s="1"/>
  <c r="F15" i="6" a="1"/>
  <c r="F15" i="6" s="1"/>
  <c r="E15" i="6" a="1"/>
  <c r="E15" i="6" s="1"/>
  <c r="D15" i="6" a="1"/>
  <c r="D15" i="6" s="1"/>
  <c r="C15" i="6" a="1"/>
  <c r="C15" i="6" s="1"/>
  <c r="F14" i="6" a="1"/>
  <c r="F14" i="6" s="1"/>
  <c r="E14" i="6" a="1"/>
  <c r="E14" i="6" s="1"/>
  <c r="D14" i="6" a="1"/>
  <c r="D14" i="6" s="1"/>
  <c r="C14" i="6" a="1"/>
  <c r="C14" i="6" s="1"/>
  <c r="F13" i="6" a="1"/>
  <c r="F13" i="6" s="1"/>
  <c r="E13" i="6" a="1"/>
  <c r="E13" i="6" s="1"/>
  <c r="D13" i="6" a="1"/>
  <c r="D13" i="6" s="1"/>
  <c r="C13" i="6" a="1"/>
  <c r="C13" i="6" s="1"/>
  <c r="F12" i="6" a="1"/>
  <c r="F12" i="6" s="1"/>
  <c r="E12" i="6" a="1"/>
  <c r="E12" i="6" s="1"/>
  <c r="D12" i="6" a="1"/>
  <c r="D12" i="6" s="1"/>
  <c r="C12" i="6" a="1"/>
  <c r="C12" i="6" s="1"/>
  <c r="F11" i="6" a="1"/>
  <c r="F11" i="6" s="1"/>
  <c r="E11" i="6" a="1"/>
  <c r="E11" i="6" s="1"/>
  <c r="D11" i="6" a="1"/>
  <c r="D11" i="6" s="1"/>
  <c r="C11" i="6" a="1"/>
  <c r="C11" i="6" s="1"/>
  <c r="F10" i="6" a="1"/>
  <c r="F10" i="6" s="1"/>
  <c r="E10" i="6" a="1"/>
  <c r="E10" i="6" s="1"/>
  <c r="D10" i="6" a="1"/>
  <c r="D10" i="6" s="1"/>
  <c r="C10" i="6" a="1"/>
  <c r="C10" i="6" s="1"/>
  <c r="F9" i="6" a="1"/>
  <c r="F9" i="6" s="1"/>
  <c r="E9" i="6" a="1"/>
  <c r="E9" i="6" s="1"/>
  <c r="D9" i="6" a="1"/>
  <c r="D9" i="6" s="1"/>
  <c r="C9" i="6" a="1"/>
  <c r="C9" i="6" s="1"/>
  <c r="F8" i="6" a="1"/>
  <c r="F8" i="6" s="1"/>
  <c r="E8" i="6" a="1"/>
  <c r="E8" i="6" s="1"/>
  <c r="D8" i="6" a="1"/>
  <c r="D8" i="6" s="1"/>
  <c r="C8" i="6" a="1"/>
  <c r="C8" i="6" s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2" i="8"/>
  <c r="H41" i="6"/>
  <c r="H40" i="6"/>
  <c r="H39" i="6"/>
  <c r="H38" i="6"/>
  <c r="H37" i="6"/>
  <c r="H36" i="6"/>
  <c r="H35" i="6"/>
  <c r="H34" i="6"/>
  <c r="H33" i="6"/>
  <c r="H32" i="6"/>
  <c r="H29" i="6"/>
  <c r="H28" i="6"/>
  <c r="H27" i="6"/>
  <c r="H26" i="6"/>
  <c r="H25" i="6"/>
  <c r="H24" i="6"/>
  <c r="H23" i="6"/>
  <c r="H22" i="6"/>
  <c r="H21" i="6"/>
  <c r="H20" i="6"/>
  <c r="H17" i="6"/>
  <c r="H16" i="6"/>
  <c r="H15" i="6"/>
  <c r="H14" i="6"/>
  <c r="H13" i="6"/>
  <c r="H12" i="6"/>
  <c r="H11" i="6"/>
  <c r="H10" i="6"/>
  <c r="H9" i="6"/>
  <c r="H8" i="6"/>
  <c r="BC23" i="8" l="1"/>
  <c r="CU10" i="8"/>
  <c r="BC22" i="8"/>
  <c r="BC18" i="8"/>
  <c r="BC6" i="8"/>
  <c r="BC20" i="8"/>
  <c r="BO2" i="8"/>
  <c r="BC10" i="8"/>
  <c r="BC14" i="8"/>
  <c r="BC19" i="8"/>
  <c r="CE10" i="8"/>
  <c r="I26" i="6"/>
  <c r="I22" i="6"/>
  <c r="AA8" i="8"/>
  <c r="BC12" i="8"/>
  <c r="BC4" i="8"/>
  <c r="BO30" i="8"/>
  <c r="BO22" i="8"/>
  <c r="BO14" i="8"/>
  <c r="BO6" i="8"/>
  <c r="CA2" i="8"/>
  <c r="CA3" i="8"/>
  <c r="CM3" i="8"/>
  <c r="CQ16" i="8"/>
  <c r="CU12" i="8"/>
  <c r="CU4" i="8"/>
  <c r="I29" i="6"/>
  <c r="I25" i="6"/>
  <c r="I21" i="6"/>
  <c r="AA15" i="8"/>
  <c r="AY3" i="8"/>
  <c r="BC21" i="8"/>
  <c r="BG3" i="8"/>
  <c r="BO32" i="8"/>
  <c r="BO24" i="8"/>
  <c r="BO16" i="8"/>
  <c r="BO8" i="8"/>
  <c r="BO3" i="8"/>
  <c r="BS3" i="8"/>
  <c r="CE2" i="8"/>
  <c r="CE12" i="8"/>
  <c r="CE4" i="8"/>
  <c r="CU14" i="8"/>
  <c r="CU6" i="8"/>
  <c r="I28" i="6"/>
  <c r="I24" i="6"/>
  <c r="AM2" i="8"/>
  <c r="AM3" i="8"/>
  <c r="AQ3" i="8"/>
  <c r="BC2" i="8"/>
  <c r="BC16" i="8"/>
  <c r="BC8" i="8"/>
  <c r="BC3" i="8"/>
  <c r="BK2" i="8"/>
  <c r="BK3" i="8"/>
  <c r="BO26" i="8"/>
  <c r="BO18" i="8"/>
  <c r="BO10" i="8"/>
  <c r="BS6" i="8"/>
  <c r="CE14" i="8"/>
  <c r="CE6" i="8"/>
  <c r="CU16" i="8"/>
  <c r="CU8" i="8"/>
  <c r="CU3" i="8"/>
  <c r="I16" i="6"/>
  <c r="I27" i="6"/>
  <c r="I23" i="6"/>
  <c r="O3" i="8"/>
  <c r="BG6" i="8"/>
  <c r="BO28" i="8"/>
  <c r="BO20" i="8"/>
  <c r="BO12" i="8"/>
  <c r="BO4" i="8"/>
  <c r="BW3" i="8"/>
  <c r="CE8" i="8"/>
  <c r="CE3" i="8"/>
  <c r="CI3" i="8"/>
  <c r="CU18" i="8"/>
  <c r="CY6" i="8"/>
  <c r="CY16" i="8"/>
  <c r="CY8" i="8"/>
  <c r="CY10" i="8"/>
  <c r="CY12" i="8"/>
  <c r="CY4" i="8"/>
  <c r="CY2" i="8"/>
  <c r="CY14" i="8"/>
  <c r="CY3" i="8"/>
  <c r="CY15" i="8"/>
  <c r="CY13" i="8"/>
  <c r="CY11" i="8"/>
  <c r="CY9" i="8"/>
  <c r="CY7" i="8"/>
  <c r="CY5" i="8"/>
  <c r="CU2" i="8"/>
  <c r="CU19" i="8"/>
  <c r="CU17" i="8"/>
  <c r="CU15" i="8"/>
  <c r="CU13" i="8"/>
  <c r="CU11" i="8"/>
  <c r="CU9" i="8"/>
  <c r="CU7" i="8"/>
  <c r="CU5" i="8"/>
  <c r="CQ12" i="8"/>
  <c r="CQ2" i="8"/>
  <c r="CQ3" i="8"/>
  <c r="CQ6" i="8"/>
  <c r="CQ8" i="8"/>
  <c r="CQ14" i="8"/>
  <c r="CQ10" i="8"/>
  <c r="CQ4" i="8"/>
  <c r="CQ17" i="8"/>
  <c r="CQ15" i="8"/>
  <c r="CQ13" i="8"/>
  <c r="CQ11" i="8"/>
  <c r="CQ9" i="8"/>
  <c r="CQ7" i="8"/>
  <c r="CQ5" i="8"/>
  <c r="CM10" i="8"/>
  <c r="CM8" i="8"/>
  <c r="CM6" i="8"/>
  <c r="CM4" i="8"/>
  <c r="CM9" i="8"/>
  <c r="CM7" i="8"/>
  <c r="CM5" i="8"/>
  <c r="CM2" i="8"/>
  <c r="CI12" i="8"/>
  <c r="CI10" i="8"/>
  <c r="CI8" i="8"/>
  <c r="CI6" i="8"/>
  <c r="CI4" i="8"/>
  <c r="CI2" i="8"/>
  <c r="CI13" i="8"/>
  <c r="CI11" i="8"/>
  <c r="CI9" i="8"/>
  <c r="CI7" i="8"/>
  <c r="CI5" i="8"/>
  <c r="CE13" i="8"/>
  <c r="CE11" i="8"/>
  <c r="CE9" i="8"/>
  <c r="CE7" i="8"/>
  <c r="CE5" i="8"/>
  <c r="CA14" i="8"/>
  <c r="CA12" i="8"/>
  <c r="CA10" i="8"/>
  <c r="CA8" i="8"/>
  <c r="CA6" i="8"/>
  <c r="CA4" i="8"/>
  <c r="CA13" i="8"/>
  <c r="CA11" i="8"/>
  <c r="CA9" i="8"/>
  <c r="CA7" i="8"/>
  <c r="CA5" i="8"/>
  <c r="BW14" i="8"/>
  <c r="BW12" i="8"/>
  <c r="BW10" i="8"/>
  <c r="BW8" i="8"/>
  <c r="BW6" i="8"/>
  <c r="BW4" i="8"/>
  <c r="BW2" i="8"/>
  <c r="BW15" i="8"/>
  <c r="BW13" i="8"/>
  <c r="BW11" i="8"/>
  <c r="BW9" i="8"/>
  <c r="BW7" i="8"/>
  <c r="BW5" i="8"/>
  <c r="BS16" i="8"/>
  <c r="BS12" i="8"/>
  <c r="BS4" i="8"/>
  <c r="BS17" i="8"/>
  <c r="BS15" i="8"/>
  <c r="BS13" i="8"/>
  <c r="BS11" i="8"/>
  <c r="BS9" i="8"/>
  <c r="BS7" i="8"/>
  <c r="BS5" i="8"/>
  <c r="BS14" i="8"/>
  <c r="BS10" i="8"/>
  <c r="BS8" i="8"/>
  <c r="BS2" i="8"/>
  <c r="BO33" i="8"/>
  <c r="BO31" i="8"/>
  <c r="BO29" i="8"/>
  <c r="BO27" i="8"/>
  <c r="BO25" i="8"/>
  <c r="BO23" i="8"/>
  <c r="BO21" i="8"/>
  <c r="BO19" i="8"/>
  <c r="BO17" i="8"/>
  <c r="BO15" i="8"/>
  <c r="BO13" i="8"/>
  <c r="BO11" i="8"/>
  <c r="BO9" i="8"/>
  <c r="BO7" i="8"/>
  <c r="BO5" i="8"/>
  <c r="BK6" i="8"/>
  <c r="BK4" i="8"/>
  <c r="BK5" i="8"/>
  <c r="BG22" i="8"/>
  <c r="BG18" i="8"/>
  <c r="BG14" i="8"/>
  <c r="BG4" i="8"/>
  <c r="BG2" i="8"/>
  <c r="BG24" i="8"/>
  <c r="BG20" i="8"/>
  <c r="BG16" i="8"/>
  <c r="BG12" i="8"/>
  <c r="BG10" i="8"/>
  <c r="BG8" i="8"/>
  <c r="BG23" i="8"/>
  <c r="BG21" i="8"/>
  <c r="BG19" i="8"/>
  <c r="BG17" i="8"/>
  <c r="BG15" i="8"/>
  <c r="BG13" i="8"/>
  <c r="BG11" i="8"/>
  <c r="BG9" i="8"/>
  <c r="BG7" i="8"/>
  <c r="BG5" i="8"/>
  <c r="BC17" i="8"/>
  <c r="BC15" i="8"/>
  <c r="BC13" i="8"/>
  <c r="BC11" i="8"/>
  <c r="BC9" i="8"/>
  <c r="BC7" i="8"/>
  <c r="BC5" i="8"/>
  <c r="AY2" i="8"/>
  <c r="AY16" i="8"/>
  <c r="AY14" i="8"/>
  <c r="AY12" i="8"/>
  <c r="AY10" i="8"/>
  <c r="AY8" i="8"/>
  <c r="AY6" i="8"/>
  <c r="AY4" i="8"/>
  <c r="AY15" i="8"/>
  <c r="AY13" i="8"/>
  <c r="AY11" i="8"/>
  <c r="AY9" i="8"/>
  <c r="AY7" i="8"/>
  <c r="AY5" i="8"/>
  <c r="AU3" i="8"/>
  <c r="AU16" i="8"/>
  <c r="AU14" i="8"/>
  <c r="AU12" i="8"/>
  <c r="AU10" i="8"/>
  <c r="AU8" i="8"/>
  <c r="AU6" i="8"/>
  <c r="AU4" i="8"/>
  <c r="AU2" i="8"/>
  <c r="AU17" i="8"/>
  <c r="AU15" i="8"/>
  <c r="AU13" i="8"/>
  <c r="AU11" i="8"/>
  <c r="AU9" i="8"/>
  <c r="AU7" i="8"/>
  <c r="AU5" i="8"/>
  <c r="AQ8" i="8"/>
  <c r="AQ16" i="8"/>
  <c r="AQ14" i="8"/>
  <c r="AQ12" i="8"/>
  <c r="AQ10" i="8"/>
  <c r="AQ6" i="8"/>
  <c r="AQ4" i="8"/>
  <c r="AQ2" i="8"/>
  <c r="AQ17" i="8"/>
  <c r="AQ15" i="8"/>
  <c r="AQ13" i="8"/>
  <c r="AQ11" i="8"/>
  <c r="AQ9" i="8"/>
  <c r="AQ7" i="8"/>
  <c r="AQ5" i="8"/>
  <c r="AM22" i="8"/>
  <c r="AM20" i="8"/>
  <c r="AM18" i="8"/>
  <c r="AM16" i="8"/>
  <c r="AM14" i="8"/>
  <c r="AM12" i="8"/>
  <c r="AM10" i="8"/>
  <c r="AM8" i="8"/>
  <c r="AM6" i="8"/>
  <c r="AM4" i="8"/>
  <c r="AM21" i="8"/>
  <c r="AM19" i="8"/>
  <c r="AM17" i="8"/>
  <c r="AM15" i="8"/>
  <c r="AM13" i="8"/>
  <c r="AM11" i="8"/>
  <c r="AM9" i="8"/>
  <c r="AM7" i="8"/>
  <c r="AM5" i="8"/>
  <c r="AI8" i="8"/>
  <c r="AI26" i="8"/>
  <c r="AI18" i="8"/>
  <c r="AI10" i="8"/>
  <c r="AI5" i="8"/>
  <c r="AI28" i="8"/>
  <c r="AI20" i="8"/>
  <c r="AI12" i="8"/>
  <c r="AI11" i="8"/>
  <c r="AI4" i="8"/>
  <c r="AI30" i="8"/>
  <c r="AI22" i="8"/>
  <c r="AI14" i="8"/>
  <c r="AI19" i="8"/>
  <c r="AI6" i="8"/>
  <c r="AI24" i="8"/>
  <c r="AI16" i="8"/>
  <c r="AI25" i="8"/>
  <c r="AI3" i="8"/>
  <c r="AI29" i="8"/>
  <c r="AI27" i="8"/>
  <c r="AI23" i="8"/>
  <c r="AI21" i="8"/>
  <c r="AI17" i="8"/>
  <c r="AI15" i="8"/>
  <c r="AI13" i="8"/>
  <c r="AI9" i="8"/>
  <c r="AI7" i="8"/>
  <c r="AI2" i="8"/>
  <c r="AE10" i="8"/>
  <c r="AE20" i="8"/>
  <c r="AE12" i="8"/>
  <c r="AE4" i="8"/>
  <c r="AE14" i="8"/>
  <c r="AE6" i="8"/>
  <c r="AE16" i="8"/>
  <c r="AE2" i="8"/>
  <c r="AE18" i="8"/>
  <c r="AE3" i="8"/>
  <c r="AE8" i="8"/>
  <c r="AE19" i="8"/>
  <c r="AE17" i="8"/>
  <c r="AE15" i="8"/>
  <c r="AE13" i="8"/>
  <c r="AE11" i="8"/>
  <c r="AE9" i="8"/>
  <c r="AE7" i="8"/>
  <c r="AE5" i="8"/>
  <c r="AA2" i="8"/>
  <c r="AA13" i="8"/>
  <c r="AA10" i="8"/>
  <c r="AA4" i="8"/>
  <c r="AA6" i="8"/>
  <c r="AA3" i="8"/>
  <c r="AA14" i="8"/>
  <c r="AA12" i="8"/>
  <c r="AA11" i="8"/>
  <c r="AA9" i="8"/>
  <c r="AA7" i="8"/>
  <c r="AA5" i="8"/>
  <c r="W3" i="8"/>
  <c r="W12" i="8"/>
  <c r="W10" i="8"/>
  <c r="W8" i="8"/>
  <c r="W6" i="8"/>
  <c r="W4" i="8"/>
  <c r="W11" i="8"/>
  <c r="W9" i="8"/>
  <c r="W7" i="8"/>
  <c r="W5" i="8"/>
  <c r="W2" i="8"/>
  <c r="S3" i="8"/>
  <c r="S2" i="8"/>
  <c r="S14" i="8"/>
  <c r="S12" i="8"/>
  <c r="S10" i="8"/>
  <c r="S8" i="8"/>
  <c r="S6" i="8"/>
  <c r="S4" i="8"/>
  <c r="S13" i="8"/>
  <c r="S11" i="8"/>
  <c r="S9" i="8"/>
  <c r="S7" i="8"/>
  <c r="S5" i="8"/>
  <c r="O12" i="8"/>
  <c r="O10" i="8"/>
  <c r="O8" i="8"/>
  <c r="O6" i="8"/>
  <c r="O4" i="8"/>
  <c r="O11" i="8"/>
  <c r="O9" i="8"/>
  <c r="O7" i="8"/>
  <c r="O5" i="8"/>
  <c r="O2" i="8"/>
  <c r="K3" i="8"/>
  <c r="K8" i="8"/>
  <c r="K6" i="8"/>
  <c r="K4" i="8"/>
  <c r="K2" i="8"/>
  <c r="K9" i="8"/>
  <c r="K7" i="8"/>
  <c r="K5" i="8"/>
  <c r="G34" i="8"/>
  <c r="G4" i="8"/>
  <c r="G36" i="8"/>
  <c r="G18" i="8"/>
  <c r="G3" i="8"/>
  <c r="G26" i="8"/>
  <c r="G10" i="8"/>
  <c r="G32" i="8"/>
  <c r="G28" i="8"/>
  <c r="G24" i="8"/>
  <c r="G20" i="8"/>
  <c r="G16" i="8"/>
  <c r="G12" i="8"/>
  <c r="G6" i="8"/>
  <c r="G30" i="8"/>
  <c r="G22" i="8"/>
  <c r="G14" i="8"/>
  <c r="G8" i="8"/>
  <c r="G2" i="8"/>
  <c r="G37" i="8"/>
  <c r="G35" i="8"/>
  <c r="G33" i="8"/>
  <c r="G31" i="8"/>
  <c r="G29" i="8"/>
  <c r="G27" i="8"/>
  <c r="G25" i="8"/>
  <c r="G23" i="8"/>
  <c r="G21" i="8"/>
  <c r="G19" i="8"/>
  <c r="G17" i="8"/>
  <c r="G15" i="8"/>
  <c r="G13" i="8"/>
  <c r="G11" i="8"/>
  <c r="G9" i="8"/>
  <c r="G7" i="8"/>
  <c r="G5" i="8"/>
  <c r="C3" i="8"/>
  <c r="I34" i="6"/>
  <c r="I38" i="6"/>
  <c r="I35" i="6"/>
  <c r="I39" i="6"/>
  <c r="I36" i="6"/>
  <c r="I40" i="6"/>
  <c r="F42" i="6"/>
  <c r="I33" i="6"/>
  <c r="I37" i="6"/>
  <c r="I41" i="6"/>
  <c r="I32" i="6"/>
  <c r="I10" i="6"/>
  <c r="I14" i="6"/>
  <c r="I17" i="6"/>
  <c r="I9" i="6"/>
  <c r="I13" i="6"/>
  <c r="C16" i="8"/>
  <c r="C14" i="8"/>
  <c r="C12" i="8"/>
  <c r="C10" i="8"/>
  <c r="C8" i="8"/>
  <c r="C6" i="8"/>
  <c r="C4" i="8"/>
  <c r="C2" i="8"/>
  <c r="C17" i="8"/>
  <c r="C15" i="8"/>
  <c r="C13" i="8"/>
  <c r="C11" i="8"/>
  <c r="C9" i="8"/>
  <c r="C7" i="8"/>
  <c r="C5" i="8"/>
  <c r="I11" i="6"/>
  <c r="I15" i="6"/>
  <c r="I8" i="6"/>
  <c r="I12" i="6"/>
  <c r="F18" i="6"/>
  <c r="F30" i="6"/>
  <c r="I20" i="6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28" i="1" a="1"/>
  <c r="D28" i="1" s="1"/>
  <c r="D29" i="1" a="1"/>
  <c r="D29" i="1" s="1"/>
  <c r="D20" i="1" a="1"/>
  <c r="D20" i="1" s="1"/>
  <c r="CP2" i="3"/>
  <c r="CP3" i="3"/>
  <c r="CP4" i="3"/>
  <c r="CP5" i="3"/>
  <c r="CP6" i="3"/>
  <c r="CP7" i="3"/>
  <c r="CP8" i="3"/>
  <c r="CP9" i="3"/>
  <c r="CP10" i="3"/>
  <c r="CP11" i="3"/>
  <c r="CP12" i="3"/>
  <c r="CP13" i="3"/>
  <c r="CP14" i="3"/>
  <c r="CP15" i="3"/>
  <c r="CP16" i="3"/>
  <c r="CP17" i="3"/>
  <c r="CP18" i="3"/>
  <c r="CO42" i="3"/>
  <c r="CO40" i="3"/>
  <c r="CQ42" i="3"/>
  <c r="CQ40" i="3"/>
  <c r="AL48" i="3"/>
  <c r="AK48" i="3"/>
  <c r="AK46" i="3"/>
  <c r="AL46" i="3"/>
  <c r="AL44" i="3"/>
  <c r="AK44" i="3"/>
  <c r="AK42" i="3"/>
  <c r="AL42" i="3"/>
  <c r="AL40" i="3"/>
  <c r="AK40" i="3"/>
  <c r="I44" i="6" l="1"/>
  <c r="I43" i="6" s="1"/>
  <c r="F43" i="6"/>
  <c r="CQ6" i="3"/>
  <c r="CQ3" i="3"/>
  <c r="CQ5" i="3"/>
  <c r="CQ4" i="3"/>
  <c r="CQ2" i="3"/>
  <c r="CQ18" i="3"/>
  <c r="CQ16" i="3"/>
  <c r="CQ14" i="3"/>
  <c r="CQ12" i="3"/>
  <c r="CQ10" i="3"/>
  <c r="CQ8" i="3"/>
  <c r="CQ17" i="3"/>
  <c r="CQ15" i="3"/>
  <c r="CQ13" i="3"/>
  <c r="CQ11" i="3"/>
  <c r="CQ9" i="3"/>
  <c r="CQ7" i="3"/>
  <c r="CR42" i="3"/>
  <c r="CR40" i="3"/>
  <c r="AM40" i="3"/>
  <c r="AM48" i="3"/>
  <c r="AM46" i="3"/>
  <c r="AM44" i="3"/>
  <c r="AM42" i="3"/>
  <c r="F34" i="3" l="1"/>
  <c r="F33" i="3"/>
  <c r="F32" i="3"/>
  <c r="F31" i="3"/>
  <c r="DR30" i="3"/>
  <c r="F30" i="3"/>
  <c r="DR29" i="3"/>
  <c r="F29" i="3"/>
  <c r="DR28" i="3"/>
  <c r="F28" i="3"/>
  <c r="DR27" i="3"/>
  <c r="AH27" i="3"/>
  <c r="F27" i="3"/>
  <c r="DR26" i="3"/>
  <c r="AH26" i="3"/>
  <c r="F26" i="3"/>
  <c r="DR25" i="3"/>
  <c r="AH25" i="3"/>
  <c r="F25" i="3"/>
  <c r="DR24" i="3"/>
  <c r="AX24" i="3"/>
  <c r="AH24" i="3"/>
  <c r="F24" i="3"/>
  <c r="DR23" i="3"/>
  <c r="DJ23" i="3"/>
  <c r="AX23" i="3"/>
  <c r="AH23" i="3"/>
  <c r="F23" i="3"/>
  <c r="DR22" i="3"/>
  <c r="DJ22" i="3"/>
  <c r="AX22" i="3"/>
  <c r="AL22" i="3"/>
  <c r="AH22" i="3"/>
  <c r="F22" i="3"/>
  <c r="DR21" i="3"/>
  <c r="DJ21" i="3"/>
  <c r="AX21" i="3"/>
  <c r="AL21" i="3"/>
  <c r="AH21" i="3"/>
  <c r="F21" i="3"/>
  <c r="DR20" i="3"/>
  <c r="DJ20" i="3"/>
  <c r="AX20" i="3"/>
  <c r="AL20" i="3"/>
  <c r="AH20" i="3"/>
  <c r="F20" i="3"/>
  <c r="DR19" i="3"/>
  <c r="DJ19" i="3"/>
  <c r="AX19" i="3"/>
  <c r="AL19" i="3"/>
  <c r="AH19" i="3"/>
  <c r="F19" i="3"/>
  <c r="DR18" i="3"/>
  <c r="DJ18" i="3"/>
  <c r="AX18" i="3"/>
  <c r="AP18" i="3"/>
  <c r="AL18" i="3"/>
  <c r="AH18" i="3"/>
  <c r="V18" i="3"/>
  <c r="F18" i="3"/>
  <c r="DR17" i="3"/>
  <c r="DJ17" i="3"/>
  <c r="DF17" i="3"/>
  <c r="DB17" i="3"/>
  <c r="AX17" i="3"/>
  <c r="AP17" i="3"/>
  <c r="AL17" i="3"/>
  <c r="AH17" i="3"/>
  <c r="V17" i="3"/>
  <c r="F17" i="3"/>
  <c r="B17" i="3"/>
  <c r="EL16" i="3"/>
  <c r="DR16" i="3"/>
  <c r="DJ16" i="3"/>
  <c r="DF16" i="3"/>
  <c r="DB16" i="3"/>
  <c r="AX16" i="3"/>
  <c r="AP16" i="3"/>
  <c r="AL16" i="3"/>
  <c r="AH16" i="3"/>
  <c r="AD16" i="3"/>
  <c r="V16" i="3"/>
  <c r="F16" i="3"/>
  <c r="B16" i="3"/>
  <c r="ET15" i="3"/>
  <c r="EL15" i="3"/>
  <c r="DZ15" i="3"/>
  <c r="DR15" i="3"/>
  <c r="DJ15" i="3"/>
  <c r="DF15" i="3"/>
  <c r="DB15" i="3"/>
  <c r="AX15" i="3"/>
  <c r="AP15" i="3"/>
  <c r="AL15" i="3"/>
  <c r="AH15" i="3"/>
  <c r="AD15" i="3"/>
  <c r="V15" i="3"/>
  <c r="F15" i="3"/>
  <c r="B15" i="3"/>
  <c r="FV14" i="3"/>
  <c r="ET14" i="3"/>
  <c r="EL14" i="3"/>
  <c r="EH14" i="3"/>
  <c r="DZ14" i="3"/>
  <c r="DR14" i="3"/>
  <c r="DJ14" i="3"/>
  <c r="DF14" i="3"/>
  <c r="DB14" i="3"/>
  <c r="AX14" i="3"/>
  <c r="AP14" i="3"/>
  <c r="AL14" i="3"/>
  <c r="AH14" i="3"/>
  <c r="AD14" i="3"/>
  <c r="Z14" i="3"/>
  <c r="V14" i="3"/>
  <c r="N14" i="3"/>
  <c r="F14" i="3"/>
  <c r="B14" i="3"/>
  <c r="FV13" i="3"/>
  <c r="FJ13" i="3"/>
  <c r="ET13" i="3"/>
  <c r="EL13" i="3"/>
  <c r="EH13" i="3"/>
  <c r="DZ13" i="3"/>
  <c r="DR13" i="3"/>
  <c r="DJ13" i="3"/>
  <c r="DF13" i="3"/>
  <c r="DB13" i="3"/>
  <c r="BV13" i="3"/>
  <c r="AX13" i="3"/>
  <c r="AP13" i="3"/>
  <c r="AL13" i="3"/>
  <c r="AH13" i="3"/>
  <c r="AD13" i="3"/>
  <c r="Z13" i="3"/>
  <c r="V13" i="3"/>
  <c r="N13" i="3"/>
  <c r="F13" i="3"/>
  <c r="B13" i="3"/>
  <c r="FV12" i="3"/>
  <c r="FJ12" i="3"/>
  <c r="ET12" i="3"/>
  <c r="EL12" i="3"/>
  <c r="EH12" i="3"/>
  <c r="DZ12" i="3"/>
  <c r="DV12" i="3"/>
  <c r="DR12" i="3"/>
  <c r="DJ12" i="3"/>
  <c r="DF12" i="3"/>
  <c r="DB12" i="3"/>
  <c r="CT12" i="3"/>
  <c r="CD12" i="3"/>
  <c r="BV12" i="3"/>
  <c r="AX12" i="3"/>
  <c r="AP12" i="3"/>
  <c r="AL12" i="3"/>
  <c r="AH12" i="3"/>
  <c r="AD12" i="3"/>
  <c r="Z12" i="3"/>
  <c r="V12" i="3"/>
  <c r="R12" i="3"/>
  <c r="N12" i="3"/>
  <c r="J12" i="3"/>
  <c r="F12" i="3"/>
  <c r="B12" i="3"/>
  <c r="FV11" i="3"/>
  <c r="FJ11" i="3"/>
  <c r="ET11" i="3"/>
  <c r="EL11" i="3"/>
  <c r="EH11" i="3"/>
  <c r="ED11" i="3"/>
  <c r="DZ11" i="3"/>
  <c r="DV11" i="3"/>
  <c r="DR11" i="3"/>
  <c r="DJ11" i="3"/>
  <c r="DF11" i="3"/>
  <c r="DB11" i="3"/>
  <c r="CT11" i="3"/>
  <c r="CD11" i="3"/>
  <c r="BV11" i="3"/>
  <c r="AX11" i="3"/>
  <c r="AP11" i="3"/>
  <c r="AL11" i="3"/>
  <c r="AH11" i="3"/>
  <c r="AD11" i="3"/>
  <c r="Z11" i="3"/>
  <c r="V11" i="3"/>
  <c r="R11" i="3"/>
  <c r="N11" i="3"/>
  <c r="J11" i="3"/>
  <c r="F11" i="3"/>
  <c r="B11" i="3"/>
  <c r="FV10" i="3"/>
  <c r="FJ10" i="3"/>
  <c r="FB10" i="3"/>
  <c r="ET10" i="3"/>
  <c r="EP10" i="3"/>
  <c r="EL10" i="3"/>
  <c r="EH10" i="3"/>
  <c r="ED10" i="3"/>
  <c r="DZ10" i="3"/>
  <c r="DV10" i="3"/>
  <c r="DR10" i="3"/>
  <c r="DJ10" i="3"/>
  <c r="DF10" i="3"/>
  <c r="DB10" i="3"/>
  <c r="CT10" i="3"/>
  <c r="CD10" i="3"/>
  <c r="BV10" i="3"/>
  <c r="AX10" i="3"/>
  <c r="AP10" i="3"/>
  <c r="AL10" i="3"/>
  <c r="AH10" i="3"/>
  <c r="AD10" i="3"/>
  <c r="Z10" i="3"/>
  <c r="V10" i="3"/>
  <c r="R10" i="3"/>
  <c r="N10" i="3"/>
  <c r="J10" i="3"/>
  <c r="F10" i="3"/>
  <c r="B10" i="3"/>
  <c r="FV9" i="3"/>
  <c r="FJ9" i="3"/>
  <c r="FB9" i="3"/>
  <c r="EX9" i="3"/>
  <c r="ET9" i="3"/>
  <c r="EP9" i="3"/>
  <c r="EL9" i="3"/>
  <c r="EH9" i="3"/>
  <c r="ED9" i="3"/>
  <c r="DZ9" i="3"/>
  <c r="DV9" i="3"/>
  <c r="DR9" i="3"/>
  <c r="DJ9" i="3"/>
  <c r="DF9" i="3"/>
  <c r="DB9" i="3"/>
  <c r="CX9" i="3"/>
  <c r="CT9" i="3"/>
  <c r="CL9" i="3"/>
  <c r="CH9" i="3"/>
  <c r="CD9" i="3"/>
  <c r="BV9" i="3"/>
  <c r="AX9" i="3"/>
  <c r="AP9" i="3"/>
  <c r="AL9" i="3"/>
  <c r="AH9" i="3"/>
  <c r="AD9" i="3"/>
  <c r="Z9" i="3"/>
  <c r="V9" i="3"/>
  <c r="R9" i="3"/>
  <c r="N9" i="3"/>
  <c r="J9" i="3"/>
  <c r="F9" i="3"/>
  <c r="B9" i="3"/>
  <c r="FV8" i="3"/>
  <c r="FR8" i="3"/>
  <c r="FJ8" i="3"/>
  <c r="FB8" i="3"/>
  <c r="EX8" i="3"/>
  <c r="ET8" i="3"/>
  <c r="EP8" i="3"/>
  <c r="EL8" i="3"/>
  <c r="EH8" i="3"/>
  <c r="ED8" i="3"/>
  <c r="DZ8" i="3"/>
  <c r="DV8" i="3"/>
  <c r="DR8" i="3"/>
  <c r="DJ8" i="3"/>
  <c r="DF8" i="3"/>
  <c r="DB8" i="3"/>
  <c r="CX8" i="3"/>
  <c r="CT8" i="3"/>
  <c r="CL8" i="3"/>
  <c r="CH8" i="3"/>
  <c r="CD8" i="3"/>
  <c r="BV8" i="3"/>
  <c r="BN8" i="3"/>
  <c r="BF8" i="3"/>
  <c r="AX8" i="3"/>
  <c r="AP8" i="3"/>
  <c r="AL8" i="3"/>
  <c r="AH8" i="3"/>
  <c r="AD8" i="3"/>
  <c r="Z8" i="3"/>
  <c r="V8" i="3"/>
  <c r="R8" i="3"/>
  <c r="N8" i="3"/>
  <c r="J8" i="3"/>
  <c r="F8" i="3"/>
  <c r="B8" i="3"/>
  <c r="FV7" i="3"/>
  <c r="FR7" i="3"/>
  <c r="FJ7" i="3"/>
  <c r="FB7" i="3"/>
  <c r="EX7" i="3"/>
  <c r="ET7" i="3"/>
  <c r="EP7" i="3"/>
  <c r="EL7" i="3"/>
  <c r="EH7" i="3"/>
  <c r="ED7" i="3"/>
  <c r="DZ7" i="3"/>
  <c r="DV7" i="3"/>
  <c r="DR7" i="3"/>
  <c r="DJ7" i="3"/>
  <c r="DF7" i="3"/>
  <c r="DB7" i="3"/>
  <c r="CX7" i="3"/>
  <c r="CT7" i="3"/>
  <c r="CL7" i="3"/>
  <c r="CH7" i="3"/>
  <c r="CD7" i="3"/>
  <c r="BV7" i="3"/>
  <c r="BN7" i="3"/>
  <c r="BF7" i="3"/>
  <c r="AX7" i="3"/>
  <c r="AP7" i="3"/>
  <c r="AL7" i="3"/>
  <c r="AH7" i="3"/>
  <c r="AD7" i="3"/>
  <c r="Z7" i="3"/>
  <c r="V7" i="3"/>
  <c r="R7" i="3"/>
  <c r="N7" i="3"/>
  <c r="J7" i="3"/>
  <c r="F7" i="3"/>
  <c r="B7" i="3"/>
  <c r="FV6" i="3"/>
  <c r="FR6" i="3"/>
  <c r="FJ6" i="3"/>
  <c r="FF6" i="3"/>
  <c r="FB6" i="3"/>
  <c r="EX6" i="3"/>
  <c r="ET6" i="3"/>
  <c r="EP6" i="3"/>
  <c r="EL6" i="3"/>
  <c r="EH6" i="3"/>
  <c r="ED6" i="3"/>
  <c r="DZ6" i="3"/>
  <c r="DV6" i="3"/>
  <c r="DR6" i="3"/>
  <c r="DN6" i="3"/>
  <c r="DJ6" i="3"/>
  <c r="DF6" i="3"/>
  <c r="DB6" i="3"/>
  <c r="CX6" i="3"/>
  <c r="CT6" i="3"/>
  <c r="CL6" i="3"/>
  <c r="CH6" i="3"/>
  <c r="CD6" i="3"/>
  <c r="BV6" i="3"/>
  <c r="BN6" i="3"/>
  <c r="BF6" i="3"/>
  <c r="AX6" i="3"/>
  <c r="AT6" i="3"/>
  <c r="AP6" i="3"/>
  <c r="AL6" i="3"/>
  <c r="AH6" i="3"/>
  <c r="AD6" i="3"/>
  <c r="Z6" i="3"/>
  <c r="V6" i="3"/>
  <c r="R6" i="3"/>
  <c r="N6" i="3"/>
  <c r="J6" i="3"/>
  <c r="F6" i="3"/>
  <c r="B6" i="3"/>
  <c r="FV5" i="3"/>
  <c r="FR5" i="3"/>
  <c r="FJ5" i="3"/>
  <c r="FF5" i="3"/>
  <c r="FB5" i="3"/>
  <c r="EX5" i="3"/>
  <c r="ET5" i="3"/>
  <c r="EP5" i="3"/>
  <c r="EL5" i="3"/>
  <c r="EH5" i="3"/>
  <c r="ED5" i="3"/>
  <c r="DZ5" i="3"/>
  <c r="DV5" i="3"/>
  <c r="DR5" i="3"/>
  <c r="DN5" i="3"/>
  <c r="DJ5" i="3"/>
  <c r="DF5" i="3"/>
  <c r="DB5" i="3"/>
  <c r="CX5" i="3"/>
  <c r="CT5" i="3"/>
  <c r="CL5" i="3"/>
  <c r="CH5" i="3"/>
  <c r="CD5" i="3"/>
  <c r="BV5" i="3"/>
  <c r="BN5" i="3"/>
  <c r="BJ5" i="3"/>
  <c r="BF5" i="3"/>
  <c r="AX5" i="3"/>
  <c r="AT5" i="3"/>
  <c r="AP5" i="3"/>
  <c r="AL5" i="3"/>
  <c r="AH5" i="3"/>
  <c r="AD5" i="3"/>
  <c r="Z5" i="3"/>
  <c r="V5" i="3"/>
  <c r="R5" i="3"/>
  <c r="N5" i="3"/>
  <c r="J5" i="3"/>
  <c r="F5" i="3"/>
  <c r="B5" i="3"/>
  <c r="FV4" i="3"/>
  <c r="FR4" i="3"/>
  <c r="FJ4" i="3"/>
  <c r="FF4" i="3"/>
  <c r="FB4" i="3"/>
  <c r="EX4" i="3"/>
  <c r="ET4" i="3"/>
  <c r="EP4" i="3"/>
  <c r="EL4" i="3"/>
  <c r="EH4" i="3"/>
  <c r="ED4" i="3"/>
  <c r="DZ4" i="3"/>
  <c r="DV4" i="3"/>
  <c r="DR4" i="3"/>
  <c r="DN4" i="3"/>
  <c r="DJ4" i="3"/>
  <c r="DF4" i="3"/>
  <c r="DB4" i="3"/>
  <c r="CX4" i="3"/>
  <c r="CT4" i="3"/>
  <c r="CL4" i="3"/>
  <c r="CH4" i="3"/>
  <c r="CD4" i="3"/>
  <c r="BZ4" i="3"/>
  <c r="BV4" i="3"/>
  <c r="BR4" i="3"/>
  <c r="BN4" i="3"/>
  <c r="BJ4" i="3"/>
  <c r="BF4" i="3"/>
  <c r="AX4" i="3"/>
  <c r="AT4" i="3"/>
  <c r="AP4" i="3"/>
  <c r="AL4" i="3"/>
  <c r="AH4" i="3"/>
  <c r="AD4" i="3"/>
  <c r="Z4" i="3"/>
  <c r="V4" i="3"/>
  <c r="R4" i="3"/>
  <c r="N4" i="3"/>
  <c r="J4" i="3"/>
  <c r="F4" i="3"/>
  <c r="B4" i="3"/>
  <c r="FV3" i="3"/>
  <c r="FR3" i="3"/>
  <c r="FN3" i="3"/>
  <c r="FJ3" i="3"/>
  <c r="FF3" i="3"/>
  <c r="FB3" i="3"/>
  <c r="EX3" i="3"/>
  <c r="ET3" i="3"/>
  <c r="EP3" i="3"/>
  <c r="EL3" i="3"/>
  <c r="EH3" i="3"/>
  <c r="ED3" i="3"/>
  <c r="DZ3" i="3"/>
  <c r="DV3" i="3"/>
  <c r="DR3" i="3"/>
  <c r="DN3" i="3"/>
  <c r="DJ3" i="3"/>
  <c r="DF3" i="3"/>
  <c r="DB3" i="3"/>
  <c r="CX3" i="3"/>
  <c r="CT3" i="3"/>
  <c r="CL3" i="3"/>
  <c r="CH3" i="3"/>
  <c r="CD3" i="3"/>
  <c r="BZ3" i="3"/>
  <c r="BV3" i="3"/>
  <c r="BR3" i="3"/>
  <c r="BN3" i="3"/>
  <c r="BJ3" i="3"/>
  <c r="BF3" i="3"/>
  <c r="BB3" i="3"/>
  <c r="AX3" i="3"/>
  <c r="AT3" i="3"/>
  <c r="AP3" i="3"/>
  <c r="AL3" i="3"/>
  <c r="AH3" i="3"/>
  <c r="AD3" i="3"/>
  <c r="Z3" i="3"/>
  <c r="V3" i="3"/>
  <c r="R3" i="3"/>
  <c r="N3" i="3"/>
  <c r="J3" i="3"/>
  <c r="F3" i="3"/>
  <c r="B3" i="3"/>
  <c r="FV2" i="3"/>
  <c r="FR2" i="3"/>
  <c r="FN2" i="3"/>
  <c r="FJ2" i="3"/>
  <c r="FF2" i="3"/>
  <c r="FB2" i="3"/>
  <c r="EX2" i="3"/>
  <c r="ET2" i="3"/>
  <c r="EP2" i="3"/>
  <c r="EL2" i="3"/>
  <c r="EH2" i="3"/>
  <c r="ED2" i="3"/>
  <c r="DZ2" i="3"/>
  <c r="DV2" i="3"/>
  <c r="DR2" i="3"/>
  <c r="DN2" i="3"/>
  <c r="DJ2" i="3"/>
  <c r="DF2" i="3"/>
  <c r="DB2" i="3"/>
  <c r="CX2" i="3"/>
  <c r="CT2" i="3"/>
  <c r="CL2" i="3"/>
  <c r="CH2" i="3"/>
  <c r="CD2" i="3"/>
  <c r="BZ2" i="3"/>
  <c r="BV2" i="3"/>
  <c r="BR2" i="3"/>
  <c r="BN2" i="3"/>
  <c r="BJ2" i="3"/>
  <c r="BF2" i="3"/>
  <c r="BB2" i="3"/>
  <c r="AX2" i="3"/>
  <c r="AT2" i="3"/>
  <c r="AP2" i="3"/>
  <c r="AL2" i="3"/>
  <c r="AH2" i="3"/>
  <c r="AD2" i="3"/>
  <c r="Z2" i="3"/>
  <c r="V2" i="3"/>
  <c r="R2" i="3"/>
  <c r="N2" i="3"/>
  <c r="J2" i="3"/>
  <c r="B2" i="3"/>
  <c r="H41" i="1"/>
  <c r="F41" i="1" a="1"/>
  <c r="F41" i="1" s="1"/>
  <c r="D41" i="1" a="1"/>
  <c r="D41" i="1" s="1"/>
  <c r="C41" i="1" a="1"/>
  <c r="C41" i="1" s="1"/>
  <c r="H40" i="1"/>
  <c r="F40" i="1" a="1"/>
  <c r="F40" i="1" s="1"/>
  <c r="D40" i="1" a="1"/>
  <c r="D40" i="1" s="1"/>
  <c r="C40" i="1" a="1"/>
  <c r="C40" i="1" s="1"/>
  <c r="H39" i="1"/>
  <c r="F39" i="1" a="1"/>
  <c r="F39" i="1" s="1"/>
  <c r="D39" i="1" a="1"/>
  <c r="D39" i="1" s="1"/>
  <c r="C39" i="1" a="1"/>
  <c r="C39" i="1" s="1"/>
  <c r="H38" i="1"/>
  <c r="F38" i="1" a="1"/>
  <c r="F38" i="1" s="1"/>
  <c r="D38" i="1" a="1"/>
  <c r="D38" i="1" s="1"/>
  <c r="C38" i="1" a="1"/>
  <c r="C38" i="1" s="1"/>
  <c r="H37" i="1"/>
  <c r="F37" i="1" a="1"/>
  <c r="F37" i="1" s="1"/>
  <c r="D37" i="1" a="1"/>
  <c r="D37" i="1" s="1"/>
  <c r="C37" i="1" a="1"/>
  <c r="C37" i="1" s="1"/>
  <c r="H36" i="1"/>
  <c r="F36" i="1" a="1"/>
  <c r="F36" i="1" s="1"/>
  <c r="D36" i="1" a="1"/>
  <c r="D36" i="1" s="1"/>
  <c r="C36" i="1" a="1"/>
  <c r="C36" i="1" s="1"/>
  <c r="H35" i="1"/>
  <c r="F35" i="1" a="1"/>
  <c r="F35" i="1" s="1"/>
  <c r="D35" i="1" a="1"/>
  <c r="D35" i="1" s="1"/>
  <c r="C35" i="1" a="1"/>
  <c r="C35" i="1" s="1"/>
  <c r="H34" i="1"/>
  <c r="F34" i="1" a="1"/>
  <c r="F34" i="1" s="1"/>
  <c r="D34" i="1" a="1"/>
  <c r="D34" i="1" s="1"/>
  <c r="C34" i="1" a="1"/>
  <c r="C34" i="1" s="1"/>
  <c r="H33" i="1"/>
  <c r="F33" i="1" a="1"/>
  <c r="F33" i="1" s="1"/>
  <c r="D33" i="1" a="1"/>
  <c r="D33" i="1" s="1"/>
  <c r="C33" i="1" a="1"/>
  <c r="C33" i="1" s="1"/>
  <c r="H32" i="1"/>
  <c r="F32" i="1" a="1"/>
  <c r="F32" i="1" s="1"/>
  <c r="D32" i="1" a="1"/>
  <c r="D32" i="1" s="1"/>
  <c r="C32" i="1" a="1"/>
  <c r="C32" i="1" s="1"/>
  <c r="H29" i="1"/>
  <c r="F29" i="1" a="1"/>
  <c r="F29" i="1" s="1"/>
  <c r="C29" i="1" a="1"/>
  <c r="C29" i="1" s="1"/>
  <c r="H28" i="1"/>
  <c r="F28" i="1" a="1"/>
  <c r="F28" i="1" s="1"/>
  <c r="C28" i="1" a="1"/>
  <c r="C28" i="1" s="1"/>
  <c r="H27" i="1"/>
  <c r="F27" i="1" a="1"/>
  <c r="F27" i="1" s="1"/>
  <c r="C27" i="1" a="1"/>
  <c r="C27" i="1" s="1"/>
  <c r="H26" i="1"/>
  <c r="F26" i="1" a="1"/>
  <c r="F26" i="1" s="1"/>
  <c r="C26" i="1" a="1"/>
  <c r="C26" i="1" s="1"/>
  <c r="H25" i="1"/>
  <c r="F25" i="1" a="1"/>
  <c r="F25" i="1" s="1"/>
  <c r="C25" i="1" a="1"/>
  <c r="C25" i="1" s="1"/>
  <c r="H24" i="1"/>
  <c r="F24" i="1" a="1"/>
  <c r="F24" i="1" s="1"/>
  <c r="C24" i="1" a="1"/>
  <c r="C24" i="1" s="1"/>
  <c r="H23" i="1"/>
  <c r="F23" i="1" a="1"/>
  <c r="F23" i="1" s="1"/>
  <c r="C23" i="1" a="1"/>
  <c r="C23" i="1" s="1"/>
  <c r="H22" i="1"/>
  <c r="F22" i="1" a="1"/>
  <c r="F22" i="1" s="1"/>
  <c r="C22" i="1" a="1"/>
  <c r="C22" i="1" s="1"/>
  <c r="H21" i="1"/>
  <c r="F21" i="1" a="1"/>
  <c r="F21" i="1" s="1"/>
  <c r="C21" i="1" a="1"/>
  <c r="C21" i="1" s="1"/>
  <c r="H20" i="1"/>
  <c r="F20" i="1" a="1"/>
  <c r="F20" i="1" s="1"/>
  <c r="C20" i="1" a="1"/>
  <c r="C20" i="1" s="1"/>
  <c r="H17" i="1"/>
  <c r="F17" i="1" a="1"/>
  <c r="F17" i="1" s="1"/>
  <c r="E17" i="1" a="1"/>
  <c r="E17" i="1" s="1"/>
  <c r="D17" i="1" a="1"/>
  <c r="D17" i="1" s="1"/>
  <c r="C17" i="1" a="1"/>
  <c r="C17" i="1" s="1"/>
  <c r="H16" i="1"/>
  <c r="F16" i="1" a="1"/>
  <c r="F16" i="1" s="1"/>
  <c r="E16" i="1" a="1"/>
  <c r="E16" i="1" s="1"/>
  <c r="D16" i="1" a="1"/>
  <c r="D16" i="1" s="1"/>
  <c r="C16" i="1" a="1"/>
  <c r="C16" i="1" s="1"/>
  <c r="H15" i="1"/>
  <c r="F15" i="1" a="1"/>
  <c r="F15" i="1" s="1"/>
  <c r="E15" i="1" a="1"/>
  <c r="E15" i="1" s="1"/>
  <c r="D15" i="1" a="1"/>
  <c r="D15" i="1" s="1"/>
  <c r="C15" i="1" a="1"/>
  <c r="C15" i="1" s="1"/>
  <c r="H14" i="1"/>
  <c r="F14" i="1" a="1"/>
  <c r="F14" i="1" s="1"/>
  <c r="E14" i="1" a="1"/>
  <c r="E14" i="1" s="1"/>
  <c r="D14" i="1" a="1"/>
  <c r="D14" i="1" s="1"/>
  <c r="C14" i="1" a="1"/>
  <c r="C14" i="1" s="1"/>
  <c r="H13" i="1"/>
  <c r="F13" i="1" a="1"/>
  <c r="F13" i="1" s="1"/>
  <c r="E13" i="1" a="1"/>
  <c r="E13" i="1" s="1"/>
  <c r="D13" i="1" a="1"/>
  <c r="D13" i="1" s="1"/>
  <c r="C13" i="1" a="1"/>
  <c r="C13" i="1" s="1"/>
  <c r="H12" i="1"/>
  <c r="F12" i="1" a="1"/>
  <c r="F12" i="1" s="1"/>
  <c r="E12" i="1" a="1"/>
  <c r="E12" i="1" s="1"/>
  <c r="D12" i="1" a="1"/>
  <c r="D12" i="1" s="1"/>
  <c r="C12" i="1" a="1"/>
  <c r="C12" i="1" s="1"/>
  <c r="H11" i="1"/>
  <c r="F11" i="1" a="1"/>
  <c r="F11" i="1" s="1"/>
  <c r="E11" i="1" a="1"/>
  <c r="E11" i="1" s="1"/>
  <c r="D11" i="1" a="1"/>
  <c r="D11" i="1" s="1"/>
  <c r="C11" i="1" a="1"/>
  <c r="C11" i="1" s="1"/>
  <c r="H10" i="1"/>
  <c r="F10" i="1" a="1"/>
  <c r="F10" i="1" s="1"/>
  <c r="E10" i="1" a="1"/>
  <c r="E10" i="1" s="1"/>
  <c r="D10" i="1" a="1"/>
  <c r="D10" i="1" s="1"/>
  <c r="C10" i="1" a="1"/>
  <c r="C10" i="1" s="1"/>
  <c r="H9" i="1"/>
  <c r="F9" i="1" a="1"/>
  <c r="F9" i="1" s="1"/>
  <c r="E9" i="1" a="1"/>
  <c r="E9" i="1" s="1"/>
  <c r="D9" i="1" a="1"/>
  <c r="D9" i="1" s="1"/>
  <c r="C9" i="1" a="1"/>
  <c r="C9" i="1" s="1"/>
  <c r="H8" i="1"/>
  <c r="F8" i="1" a="1"/>
  <c r="F8" i="1" s="1"/>
  <c r="E8" i="1" a="1"/>
  <c r="E8" i="1" s="1"/>
  <c r="D8" i="1" a="1"/>
  <c r="D8" i="1" s="1"/>
  <c r="C8" i="1" a="1"/>
  <c r="C8" i="1" s="1"/>
  <c r="I26" i="1" l="1"/>
  <c r="I21" i="1"/>
  <c r="I22" i="1"/>
  <c r="I24" i="1"/>
  <c r="I25" i="1"/>
  <c r="AI2" i="3"/>
  <c r="I33" i="1"/>
  <c r="I34" i="1"/>
  <c r="I35" i="1"/>
  <c r="I36" i="1"/>
  <c r="I37" i="1"/>
  <c r="I38" i="1"/>
  <c r="I39" i="1"/>
  <c r="I40" i="1"/>
  <c r="I41" i="1"/>
  <c r="FO3" i="3"/>
  <c r="I29" i="1"/>
  <c r="AA2" i="3"/>
  <c r="W4" i="3"/>
  <c r="K3" i="3"/>
  <c r="AQ3" i="3"/>
  <c r="DC3" i="3"/>
  <c r="DS4" i="3"/>
  <c r="S2" i="3"/>
  <c r="BK2" i="3"/>
  <c r="CA2" i="3"/>
  <c r="BC3" i="3"/>
  <c r="G2" i="3"/>
  <c r="AE2" i="3"/>
  <c r="AQ2" i="3"/>
  <c r="BG7" i="3"/>
  <c r="BW3" i="3"/>
  <c r="CM9" i="3"/>
  <c r="DO2" i="3"/>
  <c r="I10" i="1"/>
  <c r="AM2" i="3"/>
  <c r="DG2" i="3"/>
  <c r="DW2" i="3"/>
  <c r="EM2" i="3"/>
  <c r="FC2" i="3"/>
  <c r="W2" i="3"/>
  <c r="FG3" i="3"/>
  <c r="EI3" i="3"/>
  <c r="FO2" i="3"/>
  <c r="I16" i="1"/>
  <c r="BG2" i="3"/>
  <c r="CE4" i="3"/>
  <c r="DS2" i="3"/>
  <c r="I13" i="1"/>
  <c r="DC7" i="3"/>
  <c r="AI3" i="3"/>
  <c r="BG3" i="3"/>
  <c r="BW4" i="3"/>
  <c r="CU2" i="3"/>
  <c r="DS3" i="3"/>
  <c r="O2" i="3"/>
  <c r="BG4" i="3"/>
  <c r="C3" i="3"/>
  <c r="AY2" i="3"/>
  <c r="CM2" i="3"/>
  <c r="DK4" i="3"/>
  <c r="AU2" i="3"/>
  <c r="CM4" i="3"/>
  <c r="I28" i="1"/>
  <c r="C2" i="3"/>
  <c r="K2" i="3"/>
  <c r="BW6" i="3"/>
  <c r="CI2" i="3"/>
  <c r="EI11" i="3"/>
  <c r="EU2" i="3"/>
  <c r="FW10" i="3"/>
  <c r="BO2" i="3"/>
  <c r="CM3" i="3"/>
  <c r="DC2" i="3"/>
  <c r="EA3" i="3"/>
  <c r="EY3" i="3"/>
  <c r="FS2" i="3"/>
  <c r="AA3" i="3"/>
  <c r="F30" i="1"/>
  <c r="I17" i="1"/>
  <c r="I15" i="1"/>
  <c r="I11" i="1"/>
  <c r="G34" i="3"/>
  <c r="G32" i="3"/>
  <c r="G27" i="3"/>
  <c r="G25" i="3"/>
  <c r="G24" i="3"/>
  <c r="G18" i="3"/>
  <c r="G31" i="3"/>
  <c r="G23" i="3"/>
  <c r="G19" i="3"/>
  <c r="G33" i="3"/>
  <c r="G28" i="3"/>
  <c r="G22" i="3"/>
  <c r="G14" i="3"/>
  <c r="G29" i="3"/>
  <c r="G26" i="3"/>
  <c r="G21" i="3"/>
  <c r="G17" i="3"/>
  <c r="G13" i="3"/>
  <c r="G30" i="3"/>
  <c r="G20" i="3"/>
  <c r="G16" i="3"/>
  <c r="G15" i="3"/>
  <c r="G10" i="3"/>
  <c r="G8" i="3"/>
  <c r="G5" i="3"/>
  <c r="G3" i="3"/>
  <c r="G12" i="3"/>
  <c r="G7" i="3"/>
  <c r="G6" i="3"/>
  <c r="G11" i="3"/>
  <c r="G9" i="3"/>
  <c r="O14" i="3"/>
  <c r="O13" i="3"/>
  <c r="O12" i="3"/>
  <c r="O11" i="3"/>
  <c r="O9" i="3"/>
  <c r="O8" i="3"/>
  <c r="O5" i="3"/>
  <c r="O3" i="3"/>
  <c r="O10" i="3"/>
  <c r="O7" i="3"/>
  <c r="O6" i="3"/>
  <c r="W17" i="3"/>
  <c r="W16" i="3"/>
  <c r="W15" i="3"/>
  <c r="W12" i="3"/>
  <c r="W18" i="3"/>
  <c r="W8" i="3"/>
  <c r="W14" i="3"/>
  <c r="W13" i="3"/>
  <c r="W5" i="3"/>
  <c r="W3" i="3"/>
  <c r="W11" i="3"/>
  <c r="W9" i="3"/>
  <c r="W10" i="3"/>
  <c r="W7" i="3"/>
  <c r="W6" i="3"/>
  <c r="AE12" i="3"/>
  <c r="AE16" i="3"/>
  <c r="AE15" i="3"/>
  <c r="AE13" i="3"/>
  <c r="AE8" i="3"/>
  <c r="AE5" i="3"/>
  <c r="AE3" i="3"/>
  <c r="AE14" i="3"/>
  <c r="AE11" i="3"/>
  <c r="AE9" i="3"/>
  <c r="AE7" i="3"/>
  <c r="AE6" i="3"/>
  <c r="AE10" i="3"/>
  <c r="AM17" i="3"/>
  <c r="AM12" i="3"/>
  <c r="AM20" i="3"/>
  <c r="AM14" i="3"/>
  <c r="AM19" i="3"/>
  <c r="AM18" i="3"/>
  <c r="AM16" i="3"/>
  <c r="AM15" i="3"/>
  <c r="AM13" i="3"/>
  <c r="AM8" i="3"/>
  <c r="AM22" i="3"/>
  <c r="AM21" i="3"/>
  <c r="AM10" i="3"/>
  <c r="AM5" i="3"/>
  <c r="AM3" i="3"/>
  <c r="AM7" i="3"/>
  <c r="AM6" i="3"/>
  <c r="AM11" i="3"/>
  <c r="AM9" i="3"/>
  <c r="AU5" i="3"/>
  <c r="AU3" i="3"/>
  <c r="AU6" i="3"/>
  <c r="BC2" i="3"/>
  <c r="BO7" i="3"/>
  <c r="CA4" i="3"/>
  <c r="CA3" i="3"/>
  <c r="CU11" i="3"/>
  <c r="DG16" i="3"/>
  <c r="DG15" i="3"/>
  <c r="DG14" i="3"/>
  <c r="DG12" i="3"/>
  <c r="DG13" i="3"/>
  <c r="DG9" i="3"/>
  <c r="DG17" i="3"/>
  <c r="DG10" i="3"/>
  <c r="DG7" i="3"/>
  <c r="DG4" i="3"/>
  <c r="DG3" i="3"/>
  <c r="DG6" i="3"/>
  <c r="DG5" i="3"/>
  <c r="DG11" i="3"/>
  <c r="DG8" i="3"/>
  <c r="EA10" i="3"/>
  <c r="EM15" i="3"/>
  <c r="EM13" i="3"/>
  <c r="EM12" i="3"/>
  <c r="EM16" i="3"/>
  <c r="EM14" i="3"/>
  <c r="EM11" i="3"/>
  <c r="EM10" i="3"/>
  <c r="EM8" i="3"/>
  <c r="EM9" i="3"/>
  <c r="EM4" i="3"/>
  <c r="EM3" i="3"/>
  <c r="EM7" i="3"/>
  <c r="EM6" i="3"/>
  <c r="EM5" i="3"/>
  <c r="FG6" i="3"/>
  <c r="FS8" i="3"/>
  <c r="FS6" i="3"/>
  <c r="FS5" i="3"/>
  <c r="FS3" i="3"/>
  <c r="FS7" i="3"/>
  <c r="FS4" i="3"/>
  <c r="BO3" i="3"/>
  <c r="CU3" i="3"/>
  <c r="EY2" i="3"/>
  <c r="EY4" i="3"/>
  <c r="O4" i="3"/>
  <c r="AU4" i="3"/>
  <c r="I12" i="1"/>
  <c r="BS4" i="3"/>
  <c r="BS3" i="3"/>
  <c r="CY9" i="3"/>
  <c r="CY7" i="3"/>
  <c r="CY4" i="3"/>
  <c r="CY3" i="3"/>
  <c r="CY8" i="3"/>
  <c r="CY6" i="3"/>
  <c r="CY5" i="3"/>
  <c r="EE11" i="3"/>
  <c r="EE10" i="3"/>
  <c r="EE8" i="3"/>
  <c r="EE4" i="3"/>
  <c r="EE3" i="3"/>
  <c r="EE7" i="3"/>
  <c r="EE6" i="3"/>
  <c r="EE5" i="3"/>
  <c r="EE9" i="3"/>
  <c r="FK13" i="3"/>
  <c r="FK12" i="3"/>
  <c r="FK11" i="3"/>
  <c r="FK10" i="3"/>
  <c r="FK9" i="3"/>
  <c r="FK7" i="3"/>
  <c r="FK4" i="3"/>
  <c r="FK3" i="3"/>
  <c r="FK8" i="3"/>
  <c r="FK6" i="3"/>
  <c r="FK5" i="3"/>
  <c r="CE2" i="3"/>
  <c r="DK2" i="3"/>
  <c r="EQ2" i="3"/>
  <c r="EQ4" i="3"/>
  <c r="EQ8" i="3"/>
  <c r="FW4" i="3"/>
  <c r="FW2" i="3"/>
  <c r="FW6" i="3"/>
  <c r="FW5" i="3"/>
  <c r="FW9" i="3"/>
  <c r="G4" i="3"/>
  <c r="AM4" i="3"/>
  <c r="DC4" i="3"/>
  <c r="I9" i="1"/>
  <c r="I14" i="1"/>
  <c r="I23" i="1"/>
  <c r="I27" i="1"/>
  <c r="C17" i="3"/>
  <c r="C16" i="3"/>
  <c r="C15" i="3"/>
  <c r="C14" i="3"/>
  <c r="C13" i="3"/>
  <c r="C12" i="3"/>
  <c r="C11" i="3"/>
  <c r="C10" i="3"/>
  <c r="C9" i="3"/>
  <c r="C7" i="3"/>
  <c r="C6" i="3"/>
  <c r="C4" i="3"/>
  <c r="C8" i="3"/>
  <c r="C5" i="3"/>
  <c r="K12" i="3"/>
  <c r="K11" i="3"/>
  <c r="K10" i="3"/>
  <c r="K9" i="3"/>
  <c r="K7" i="3"/>
  <c r="K6" i="3"/>
  <c r="K4" i="3"/>
  <c r="K8" i="3"/>
  <c r="K5" i="3"/>
  <c r="S11" i="3"/>
  <c r="S10" i="3"/>
  <c r="S9" i="3"/>
  <c r="S12" i="3"/>
  <c r="S7" i="3"/>
  <c r="S6" i="3"/>
  <c r="S4" i="3"/>
  <c r="S8" i="3"/>
  <c r="S5" i="3"/>
  <c r="AA5" i="3"/>
  <c r="AI5" i="3"/>
  <c r="AQ5" i="3"/>
  <c r="AY7" i="3"/>
  <c r="BK4" i="3"/>
  <c r="BK3" i="3"/>
  <c r="BK5" i="3"/>
  <c r="BS2" i="3"/>
  <c r="CE10" i="3"/>
  <c r="CY2" i="3"/>
  <c r="DK7" i="3"/>
  <c r="DW11" i="3"/>
  <c r="DW10" i="3"/>
  <c r="DW8" i="3"/>
  <c r="DW12" i="3"/>
  <c r="DW4" i="3"/>
  <c r="DW3" i="3"/>
  <c r="DW9" i="3"/>
  <c r="DW7" i="3"/>
  <c r="DW6" i="3"/>
  <c r="DW5" i="3"/>
  <c r="EE2" i="3"/>
  <c r="FC8" i="3"/>
  <c r="FC4" i="3"/>
  <c r="FC3" i="3"/>
  <c r="FC10" i="3"/>
  <c r="FC9" i="3"/>
  <c r="FC7" i="3"/>
  <c r="FC6" i="3"/>
  <c r="FC5" i="3"/>
  <c r="FK2" i="3"/>
  <c r="S3" i="3"/>
  <c r="AY3" i="3"/>
  <c r="BW2" i="3"/>
  <c r="BW5" i="3"/>
  <c r="CE3" i="3"/>
  <c r="DK3" i="3"/>
  <c r="EI2" i="3"/>
  <c r="EI4" i="3"/>
  <c r="EI10" i="3"/>
  <c r="EQ3" i="3"/>
  <c r="FW3" i="3"/>
  <c r="AE4" i="3"/>
  <c r="BO4" i="3"/>
  <c r="CU4" i="3"/>
  <c r="CI9" i="3"/>
  <c r="CI8" i="3"/>
  <c r="CI7" i="3"/>
  <c r="CI4" i="3"/>
  <c r="CI3" i="3"/>
  <c r="CI6" i="3"/>
  <c r="CI5" i="3"/>
  <c r="DO4" i="3"/>
  <c r="DO3" i="3"/>
  <c r="DO6" i="3"/>
  <c r="DO5" i="3"/>
  <c r="EU14" i="3"/>
  <c r="EU12" i="3"/>
  <c r="EU10" i="3"/>
  <c r="EU8" i="3"/>
  <c r="EU15" i="3"/>
  <c r="EU4" i="3"/>
  <c r="EU3" i="3"/>
  <c r="EU9" i="3"/>
  <c r="EU13" i="3"/>
  <c r="EU7" i="3"/>
  <c r="EU6" i="3"/>
  <c r="EU5" i="3"/>
  <c r="EU11" i="3"/>
  <c r="EA2" i="3"/>
  <c r="EA4" i="3"/>
  <c r="FG2" i="3"/>
  <c r="FG4" i="3"/>
  <c r="AA8" i="3"/>
  <c r="BW8" i="3"/>
  <c r="CU9" i="3"/>
  <c r="CU10" i="3"/>
  <c r="AA12" i="3"/>
  <c r="AY5" i="3"/>
  <c r="BG6" i="3"/>
  <c r="CE7" i="3"/>
  <c r="CM7" i="3"/>
  <c r="CU7" i="3"/>
  <c r="BG8" i="3"/>
  <c r="EI8" i="3"/>
  <c r="FW8" i="3"/>
  <c r="AA14" i="3"/>
  <c r="AA13" i="3"/>
  <c r="AA11" i="3"/>
  <c r="AA10" i="3"/>
  <c r="AA9" i="3"/>
  <c r="AI26" i="3"/>
  <c r="AI23" i="3"/>
  <c r="AI22" i="3"/>
  <c r="AI21" i="3"/>
  <c r="AI20" i="3"/>
  <c r="AI19" i="3"/>
  <c r="AI18" i="3"/>
  <c r="AI16" i="3"/>
  <c r="AI15" i="3"/>
  <c r="AI14" i="3"/>
  <c r="AI13" i="3"/>
  <c r="AI27" i="3"/>
  <c r="AI12" i="3"/>
  <c r="AI25" i="3"/>
  <c r="AI11" i="3"/>
  <c r="AI10" i="3"/>
  <c r="AI9" i="3"/>
  <c r="AI24" i="3"/>
  <c r="AI17" i="3"/>
  <c r="AQ18" i="3"/>
  <c r="AQ16" i="3"/>
  <c r="AQ15" i="3"/>
  <c r="AQ14" i="3"/>
  <c r="AQ13" i="3"/>
  <c r="AQ17" i="3"/>
  <c r="AQ12" i="3"/>
  <c r="AQ11" i="3"/>
  <c r="AQ10" i="3"/>
  <c r="AQ9" i="3"/>
  <c r="AY24" i="3"/>
  <c r="AY22" i="3"/>
  <c r="AY21" i="3"/>
  <c r="AY20" i="3"/>
  <c r="AY19" i="3"/>
  <c r="AY17" i="3"/>
  <c r="AY12" i="3"/>
  <c r="AY23" i="3"/>
  <c r="AY14" i="3"/>
  <c r="AY8" i="3"/>
  <c r="AY18" i="3"/>
  <c r="AY16" i="3"/>
  <c r="AY15" i="3"/>
  <c r="AY13" i="3"/>
  <c r="BO8" i="3"/>
  <c r="BW13" i="3"/>
  <c r="BW11" i="3"/>
  <c r="BW10" i="3"/>
  <c r="BW9" i="3"/>
  <c r="BW12" i="3"/>
  <c r="CE12" i="3"/>
  <c r="CE8" i="3"/>
  <c r="CM8" i="3"/>
  <c r="CU12" i="3"/>
  <c r="CU8" i="3"/>
  <c r="DC17" i="3"/>
  <c r="DC13" i="3"/>
  <c r="DC12" i="3"/>
  <c r="DC11" i="3"/>
  <c r="DC10" i="3"/>
  <c r="DC8" i="3"/>
  <c r="DC14" i="3"/>
  <c r="DC16" i="3"/>
  <c r="DC15" i="3"/>
  <c r="DK23" i="3"/>
  <c r="DK17" i="3"/>
  <c r="DK13" i="3"/>
  <c r="DK21" i="3"/>
  <c r="DK16" i="3"/>
  <c r="DK15" i="3"/>
  <c r="DK20" i="3"/>
  <c r="DK12" i="3"/>
  <c r="DK11" i="3"/>
  <c r="DK10" i="3"/>
  <c r="DK8" i="3"/>
  <c r="DK19" i="3"/>
  <c r="DK22" i="3"/>
  <c r="DK18" i="3"/>
  <c r="DK14" i="3"/>
  <c r="DS30" i="3"/>
  <c r="DS29" i="3"/>
  <c r="DS28" i="3"/>
  <c r="DS27" i="3"/>
  <c r="DS25" i="3"/>
  <c r="DS22" i="3"/>
  <c r="DS21" i="3"/>
  <c r="DS20" i="3"/>
  <c r="DS19" i="3"/>
  <c r="DS18" i="3"/>
  <c r="DS16" i="3"/>
  <c r="DS15" i="3"/>
  <c r="DS14" i="3"/>
  <c r="DS12" i="3"/>
  <c r="DS24" i="3"/>
  <c r="DS13" i="3"/>
  <c r="DS9" i="3"/>
  <c r="DS23" i="3"/>
  <c r="DS26" i="3"/>
  <c r="DS17" i="3"/>
  <c r="EA13" i="3"/>
  <c r="EA12" i="3"/>
  <c r="EA14" i="3"/>
  <c r="EA15" i="3"/>
  <c r="EA9" i="3"/>
  <c r="EI14" i="3"/>
  <c r="EI9" i="3"/>
  <c r="EI13" i="3"/>
  <c r="EQ9" i="3"/>
  <c r="EY9" i="3"/>
  <c r="FW13" i="3"/>
  <c r="FW12" i="3"/>
  <c r="FW14" i="3"/>
  <c r="AQ8" i="3"/>
  <c r="EA8" i="3"/>
  <c r="CE9" i="3"/>
  <c r="DK9" i="3"/>
  <c r="AY10" i="3"/>
  <c r="DS10" i="3"/>
  <c r="CE11" i="3"/>
  <c r="EA11" i="3"/>
  <c r="EI12" i="3"/>
  <c r="AA4" i="3"/>
  <c r="AI4" i="3"/>
  <c r="AQ4" i="3"/>
  <c r="AY4" i="3"/>
  <c r="BG5" i="3"/>
  <c r="BO5" i="3"/>
  <c r="CE5" i="3"/>
  <c r="CM5" i="3"/>
  <c r="CU5" i="3"/>
  <c r="DC5" i="3"/>
  <c r="DK5" i="3"/>
  <c r="DS5" i="3"/>
  <c r="EA5" i="3"/>
  <c r="EI5" i="3"/>
  <c r="EQ5" i="3"/>
  <c r="EY5" i="3"/>
  <c r="FG5" i="3"/>
  <c r="AA6" i="3"/>
  <c r="AI6" i="3"/>
  <c r="AQ6" i="3"/>
  <c r="AY6" i="3"/>
  <c r="BO6" i="3"/>
  <c r="CE6" i="3"/>
  <c r="CM6" i="3"/>
  <c r="CU6" i="3"/>
  <c r="DC6" i="3"/>
  <c r="DK6" i="3"/>
  <c r="DS6" i="3"/>
  <c r="EA6" i="3"/>
  <c r="EI6" i="3"/>
  <c r="EQ6" i="3"/>
  <c r="EY6" i="3"/>
  <c r="AA7" i="3"/>
  <c r="AI7" i="3"/>
  <c r="AQ7" i="3"/>
  <c r="BW7" i="3"/>
  <c r="DS7" i="3"/>
  <c r="EA7" i="3"/>
  <c r="EI7" i="3"/>
  <c r="EQ7" i="3"/>
  <c r="EY7" i="3"/>
  <c r="FW7" i="3"/>
  <c r="AI8" i="3"/>
  <c r="DS8" i="3"/>
  <c r="EY8" i="3"/>
  <c r="AY9" i="3"/>
  <c r="DC9" i="3"/>
  <c r="EQ10" i="3"/>
  <c r="AY11" i="3"/>
  <c r="DS11" i="3"/>
  <c r="FW11" i="3"/>
  <c r="I8" i="1"/>
  <c r="F18" i="1"/>
  <c r="I32" i="1"/>
  <c r="F42" i="1"/>
  <c r="I20" i="1"/>
  <c r="I44" i="1" l="1"/>
  <c r="I43" i="1" s="1"/>
  <c r="F43" i="1"/>
</calcChain>
</file>

<file path=xl/sharedStrings.xml><?xml version="1.0" encoding="utf-8"?>
<sst xmlns="http://schemas.openxmlformats.org/spreadsheetml/2006/main" count="9172" uniqueCount="581">
  <si>
    <t>GLH</t>
  </si>
  <si>
    <t>Grade</t>
  </si>
  <si>
    <t>Points</t>
  </si>
  <si>
    <t>Mandatory</t>
  </si>
  <si>
    <t>Optional</t>
  </si>
  <si>
    <t>Assessment Type</t>
  </si>
  <si>
    <t>Unit Number</t>
  </si>
  <si>
    <t>Unit Name</t>
  </si>
  <si>
    <t>Mandatory units</t>
  </si>
  <si>
    <t>Sector</t>
  </si>
  <si>
    <t>Unit number</t>
  </si>
  <si>
    <t>Assessment type</t>
  </si>
  <si>
    <t>Applied Science</t>
  </si>
  <si>
    <t>Principles of Science</t>
  </si>
  <si>
    <t>Chemistry and our Earth</t>
  </si>
  <si>
    <t>Energy and our Universe</t>
  </si>
  <si>
    <t>Biology and our Environment</t>
  </si>
  <si>
    <t>Applications of Chemical Substances</t>
  </si>
  <si>
    <t>Applications of Physical Science</t>
  </si>
  <si>
    <t>Health Applications of Life Science</t>
  </si>
  <si>
    <t>Scientific Skills</t>
  </si>
  <si>
    <t>External</t>
  </si>
  <si>
    <t>Internal</t>
  </si>
  <si>
    <t>optional Units A</t>
  </si>
  <si>
    <t>Practical Scientific Project</t>
  </si>
  <si>
    <t>World Energy</t>
  </si>
  <si>
    <t>How Scientific Theories are Formulated</t>
  </si>
  <si>
    <t>The Living Body</t>
  </si>
  <si>
    <t>Monitoring the Environment</t>
  </si>
  <si>
    <t>Growing Plants for Food</t>
  </si>
  <si>
    <t>Investigating a Crime Scene</t>
  </si>
  <si>
    <t>Science in Medicine</t>
  </si>
  <si>
    <t>Understanding Human Behaviour</t>
  </si>
  <si>
    <t>Designing and Making Useful Devices in Science</t>
  </si>
  <si>
    <t>Chemical Analysis and Detection</t>
  </si>
  <si>
    <t>Exploring our Universe</t>
  </si>
  <si>
    <t>Electronics in Action</t>
  </si>
  <si>
    <t>Biotechnology Procedures and Applications</t>
  </si>
  <si>
    <t>Further Chemistry</t>
  </si>
  <si>
    <t>Further Physics</t>
  </si>
  <si>
    <t>Award</t>
  </si>
  <si>
    <t>Cert</t>
  </si>
  <si>
    <t>Ext Cert</t>
  </si>
  <si>
    <t>Dip</t>
  </si>
  <si>
    <t>Application of Science</t>
  </si>
  <si>
    <t>Principles of Applied Science</t>
  </si>
  <si>
    <t>Art and Design</t>
  </si>
  <si>
    <t>Art and Design Design Crafts</t>
  </si>
  <si>
    <t>Art and Design Fashion and Textiles</t>
  </si>
  <si>
    <t>Art and Design Photography</t>
  </si>
  <si>
    <t>Art and Design Product Design</t>
  </si>
  <si>
    <t>Art and Design Visual Arts</t>
  </si>
  <si>
    <t>Art and Design Visual Communication</t>
  </si>
  <si>
    <t>Business</t>
  </si>
  <si>
    <t>Business 2012</t>
  </si>
  <si>
    <t>Business 2018</t>
  </si>
  <si>
    <t>Construction and the Built Environment 2013</t>
  </si>
  <si>
    <t>Construction and the Built Environment 2018</t>
  </si>
  <si>
    <t>Construction and the Built Environment</t>
  </si>
  <si>
    <t>Creative Digital Media Production</t>
  </si>
  <si>
    <t>Engineering</t>
  </si>
  <si>
    <t>Engineering Design and Product Investigation</t>
  </si>
  <si>
    <t>Engineering Electronics and Computer Control Technologies</t>
  </si>
  <si>
    <t>Equine Studies</t>
  </si>
  <si>
    <t>Health and Social Care</t>
  </si>
  <si>
    <t>Engineering Technology</t>
  </si>
  <si>
    <t>Engineering Maintenance</t>
  </si>
  <si>
    <t>Engineering Manufacturing</t>
  </si>
  <si>
    <t>Engineering Mechanical</t>
  </si>
  <si>
    <t>Hospitality</t>
  </si>
  <si>
    <t>Information and Creative Technology</t>
  </si>
  <si>
    <t>Information and Creative Technology Computer Science</t>
  </si>
  <si>
    <t>Information and Creative Technology Systems Development and Support</t>
  </si>
  <si>
    <t>Music</t>
  </si>
  <si>
    <t>Performing Arts</t>
  </si>
  <si>
    <t>Performing Arts Acting</t>
  </si>
  <si>
    <t>Performing Arts Dance</t>
  </si>
  <si>
    <t>Performing Arts Musical Theatre</t>
  </si>
  <si>
    <t>Performing Arts Production</t>
  </si>
  <si>
    <t>Public Services</t>
  </si>
  <si>
    <t>Sport 2012</t>
  </si>
  <si>
    <t>Sport 2018</t>
  </si>
  <si>
    <t>Sport</t>
  </si>
  <si>
    <t>Sport Outdoor and Adventurous Activities</t>
  </si>
  <si>
    <t>Sport Fitness and Exercise</t>
  </si>
  <si>
    <t>Travel and Tourism 2013</t>
  </si>
  <si>
    <t>Travel and Tourism 2018</t>
  </si>
  <si>
    <t>Travel and Tourism</t>
  </si>
  <si>
    <t>U</t>
  </si>
  <si>
    <t>L1P</t>
  </si>
  <si>
    <t>L2P</t>
  </si>
  <si>
    <t>L2M</t>
  </si>
  <si>
    <t>L2D</t>
  </si>
  <si>
    <t>Level 1</t>
  </si>
  <si>
    <t>PP</t>
  </si>
  <si>
    <t>MP</t>
  </si>
  <si>
    <t>MM</t>
  </si>
  <si>
    <t>DM</t>
  </si>
  <si>
    <t>DD</t>
  </si>
  <si>
    <t>D*D</t>
  </si>
  <si>
    <t>D*D*</t>
  </si>
  <si>
    <t>P</t>
  </si>
  <si>
    <t>M</t>
  </si>
  <si>
    <t>D</t>
  </si>
  <si>
    <t>D*</t>
  </si>
  <si>
    <t>Overall Grade</t>
  </si>
  <si>
    <t>Introduction to Specialist Pathways in Art and Design</t>
  </si>
  <si>
    <t>Creative Project in Art and Design</t>
  </si>
  <si>
    <t>Developing an Art and Design Portfolio</t>
  </si>
  <si>
    <t>Investigating Contextual References in Art and Design</t>
  </si>
  <si>
    <t>Recording for Creative Intentions in Art and Design</t>
  </si>
  <si>
    <t>Applying Contextual References in Art and Design</t>
  </si>
  <si>
    <t>Practical Research Project in Art and Design</t>
  </si>
  <si>
    <t>Communicating Ideas in 2D</t>
  </si>
  <si>
    <t>Communicating Ideas in 3D</t>
  </si>
  <si>
    <t>Using Mobile Devices in Art and Design</t>
  </si>
  <si>
    <t>Design Crafts Briefs</t>
  </si>
  <si>
    <t>Fashion Briefs</t>
  </si>
  <si>
    <t>Graphic Design Briefs</t>
  </si>
  <si>
    <t>Textiles Briefs</t>
  </si>
  <si>
    <t>Visual Arts Briefs</t>
  </si>
  <si>
    <t>Photography Briefs</t>
  </si>
  <si>
    <t>Designing for the Future</t>
  </si>
  <si>
    <t>Art, Craft and Design in the Creative Industries</t>
  </si>
  <si>
    <t>3D Design Briefs</t>
  </si>
  <si>
    <t>Digital Art and Design Briefs</t>
  </si>
  <si>
    <t>Interactive Media Production Briefs</t>
  </si>
  <si>
    <t>Painting Briefs</t>
  </si>
  <si>
    <t>Designing Products</t>
  </si>
  <si>
    <t>Design Thinking</t>
  </si>
  <si>
    <t>Fashion Promotion</t>
  </si>
  <si>
    <t>Moving Image Briefs</t>
  </si>
  <si>
    <t>Interaction Design</t>
  </si>
  <si>
    <t>Printmaking Briefs</t>
  </si>
  <si>
    <t>Drawing from Observation</t>
  </si>
  <si>
    <t>Ceramics</t>
  </si>
  <si>
    <t>Studio Photography</t>
  </si>
  <si>
    <t>Location Photography</t>
  </si>
  <si>
    <t>Designing for Print and Screen</t>
  </si>
  <si>
    <t>Editing Photographic Images</t>
  </si>
  <si>
    <t>Fashion Retail</t>
  </si>
  <si>
    <t>Surface Design</t>
  </si>
  <si>
    <t>Sustainability in Art and Design Practice</t>
  </si>
  <si>
    <t>Advertising Briefs</t>
  </si>
  <si>
    <t>Modelmaking</t>
  </si>
  <si>
    <t>Sculpture</t>
  </si>
  <si>
    <t>Design Crafts</t>
  </si>
  <si>
    <t>Fashion and Textiles</t>
  </si>
  <si>
    <t>Photography</t>
  </si>
  <si>
    <t>Product Design</t>
  </si>
  <si>
    <t>Visual Arts</t>
  </si>
  <si>
    <t>Visual Communication</t>
  </si>
  <si>
    <t>Enterprise in the Business World</t>
  </si>
  <si>
    <t>Finance for Business</t>
  </si>
  <si>
    <t>Promoting a Brand</t>
  </si>
  <si>
    <t>Principles of Marketing</t>
  </si>
  <si>
    <t>Small Business Planning</t>
  </si>
  <si>
    <t>Introducing Project Management</t>
  </si>
  <si>
    <t>Principles of Customer Services</t>
  </si>
  <si>
    <t>Sales and Personal Selling</t>
  </si>
  <si>
    <t>Introducing Retail Business</t>
  </si>
  <si>
    <t>Providing Business Support</t>
  </si>
  <si>
    <t>Recruitment, Selection and Employment</t>
  </si>
  <si>
    <t>Using Business Documentation</t>
  </si>
  <si>
    <t>Building Successful Business Teams</t>
  </si>
  <si>
    <t>Introducing Law and Consumer Rights</t>
  </si>
  <si>
    <t>Financial Planning and Forecasting</t>
  </si>
  <si>
    <t>Business Online</t>
  </si>
  <si>
    <t>Public Sector Business</t>
  </si>
  <si>
    <t>Enhancing the Customer Experience</t>
  </si>
  <si>
    <t>Visual Merchandising in Retail Business</t>
  </si>
  <si>
    <t>Delivering and Improving Customer Service</t>
  </si>
  <si>
    <t>Effective Business Communication</t>
  </si>
  <si>
    <t>Working in Business Teams</t>
  </si>
  <si>
    <t>Planning, Forecasting and Recording Business Finances</t>
  </si>
  <si>
    <t>Work Experience in Business</t>
  </si>
  <si>
    <t>Introducing International Business</t>
  </si>
  <si>
    <t>Introducing the Economic Environment</t>
  </si>
  <si>
    <t>Efficient Business Operations</t>
  </si>
  <si>
    <t>Principles of Procurement and Supply</t>
  </si>
  <si>
    <t>Implementing Procurement and Supply in Business</t>
  </si>
  <si>
    <t>Corporate Social Responsibility</t>
  </si>
  <si>
    <t>Managing Personal Finances</t>
  </si>
  <si>
    <t>Sustainability in the Business Workplace</t>
  </si>
  <si>
    <t>Construction Technology</t>
  </si>
  <si>
    <t>Construction and Design</t>
  </si>
  <si>
    <t>Scientific and Mathematical Applications for Construction</t>
  </si>
  <si>
    <t>Construction Processes and Operations</t>
  </si>
  <si>
    <t>Sustainability in Construction</t>
  </si>
  <si>
    <t>Maintenance and Adaptation of Buildings</t>
  </si>
  <si>
    <t>Construction Drawing Techniques</t>
  </si>
  <si>
    <t>Exploring Carpentry and Joinery Principles and Techniques</t>
  </si>
  <si>
    <t>Exploring Brickwork and Blockwork Principles and Techniques</t>
  </si>
  <si>
    <t>Exploring Painting and Decorating Principles and Techniques</t>
  </si>
  <si>
    <t>Exploring Plumbing Principles and Techniques</t>
  </si>
  <si>
    <t>Exploring Electrical Principles and Techniques</t>
  </si>
  <si>
    <t>Exploring Roofing Principles and Techniques</t>
  </si>
  <si>
    <t>Exploring Wall and Floor Tiling Principles and Techniques</t>
  </si>
  <si>
    <t>Exploring Plastering and Dry Lining Principles and Techniques</t>
  </si>
  <si>
    <t>Carpentry and Joinery Operations</t>
  </si>
  <si>
    <t>Brickwork and Blockwork Operations</t>
  </si>
  <si>
    <t>Painting and Paperhanging Operations</t>
  </si>
  <si>
    <t>Plumbing Operations</t>
  </si>
  <si>
    <t>Electrical Operations</t>
  </si>
  <si>
    <t>Tendering and Estimating</t>
  </si>
  <si>
    <t>Exploring Surveying</t>
  </si>
  <si>
    <t>Exploring Civil Engineering</t>
  </si>
  <si>
    <t>Exploring Building Services Engineering</t>
  </si>
  <si>
    <t>Exploring Facilities Management</t>
  </si>
  <si>
    <t>Construction Work Experience</t>
  </si>
  <si>
    <t>Communications for Construction and the Built Environment</t>
  </si>
  <si>
    <t>construction and the Built Environment</t>
  </si>
  <si>
    <t>Digital Media Sectors and Audiences</t>
  </si>
  <si>
    <t>Planning and Pitching a Digital Media Product</t>
  </si>
  <si>
    <t>Media Industry in Context</t>
  </si>
  <si>
    <t>Deconstructing Media Products</t>
  </si>
  <si>
    <t>Final Digital Production Project</t>
  </si>
  <si>
    <t>Digital Moving Image Production</t>
  </si>
  <si>
    <t>Digital Audio Production</t>
  </si>
  <si>
    <t>Digital Publishing Production</t>
  </si>
  <si>
    <t>Website Production</t>
  </si>
  <si>
    <t>Digital Games Production</t>
  </si>
  <si>
    <t>Digital Editing for Moving Image</t>
  </si>
  <si>
    <t>Digital Photography for a Media Product</t>
  </si>
  <si>
    <t>Animation for Digital Media</t>
  </si>
  <si>
    <t>Digital Audio Editing</t>
  </si>
  <si>
    <t>Graphic Design for Digital Media</t>
  </si>
  <si>
    <t>Writing for Digital Media</t>
  </si>
  <si>
    <t>Digital Games Testing</t>
  </si>
  <si>
    <t>Digital Art for a Media Product</t>
  </si>
  <si>
    <t>Digital Audio Mixing</t>
  </si>
  <si>
    <t>Lighting for Moving Image</t>
  </si>
  <si>
    <t>Advertising Production</t>
  </si>
  <si>
    <t>Factual Media Production</t>
  </si>
  <si>
    <t>The Engineered World</t>
  </si>
  <si>
    <t>Investigating an Engineered Product</t>
  </si>
  <si>
    <t>Health and Safety in Engineering</t>
  </si>
  <si>
    <t>Engineering Materials</t>
  </si>
  <si>
    <t>Interpreting and Using Engineering Information</t>
  </si>
  <si>
    <t>Mathematics for Engineering</t>
  </si>
  <si>
    <t>Introduction to Communications for Engineering</t>
  </si>
  <si>
    <t>Machining Techniques</t>
  </si>
  <si>
    <t>Electronic Circuit Design and Construction</t>
  </si>
  <si>
    <t>Engineering Design</t>
  </si>
  <si>
    <t>Operating an Efficient Workplace</t>
  </si>
  <si>
    <t>Computer Numerical Control Programming</t>
  </si>
  <si>
    <t>optional Units B</t>
  </si>
  <si>
    <t>Computer-aided Engineering</t>
  </si>
  <si>
    <t>Electrical and Mechanical Science for Engineering</t>
  </si>
  <si>
    <t>Engineering Assembly</t>
  </si>
  <si>
    <t>Vehicle Engines and Other Systems</t>
  </si>
  <si>
    <t>Vehicle Electrical Sytems</t>
  </si>
  <si>
    <t>Welding</t>
  </si>
  <si>
    <t>Bicycle Servicing and Maintenance</t>
  </si>
  <si>
    <t>Sustainable Vehicle Power and Structure Design</t>
  </si>
  <si>
    <t>Continuous Improvement and Problem-Solving</t>
  </si>
  <si>
    <t>Electronic Devices and Communication Applications</t>
  </si>
  <si>
    <t>Operation and Maintenance of Mechanical Systems and Components</t>
  </si>
  <si>
    <t>Operation and Maintenance of Electronic Systems and Components</t>
  </si>
  <si>
    <t>Operation and Maintenance of Electrical Systems and Components</t>
  </si>
  <si>
    <t>Operation and Maintenance of Fluid Power Systems and Components</t>
  </si>
  <si>
    <t>Fabrication Techniques</t>
  </si>
  <si>
    <t>Casting Techniques</t>
  </si>
  <si>
    <t>Vehicle Maintenance Techniques</t>
  </si>
  <si>
    <t>Production Planning for Engineering</t>
  </si>
  <si>
    <t>Engineering Marking Out</t>
  </si>
  <si>
    <t>Preparing and Controlling Engineering Manufacturing Operations</t>
  </si>
  <si>
    <t>PC Software and Hardware in Engineering</t>
  </si>
  <si>
    <t>Application of Quality Control and Measurement in Engineering</t>
  </si>
  <si>
    <t>Engineering A</t>
  </si>
  <si>
    <t>Engineering B</t>
  </si>
  <si>
    <t>Eng Tech B</t>
  </si>
  <si>
    <t>Eng Tech A</t>
  </si>
  <si>
    <t>Eng Maint A</t>
  </si>
  <si>
    <t>Eng Maint B</t>
  </si>
  <si>
    <t>Eng Manu A</t>
  </si>
  <si>
    <t>Eng Manu B</t>
  </si>
  <si>
    <t>Eng Mech A</t>
  </si>
  <si>
    <t>Eng Mech B</t>
  </si>
  <si>
    <t>Human Lifespan Development</t>
  </si>
  <si>
    <t>Health and Social Care Values</t>
  </si>
  <si>
    <t>Effective Communication in Health and Social Care</t>
  </si>
  <si>
    <t>Equality and Diversity in Health and Social Care</t>
  </si>
  <si>
    <t>Individual Rights in Health and Social Care</t>
  </si>
  <si>
    <t>Healthy Living</t>
  </si>
  <si>
    <t>Carrying out a Research Project in Health and Social Care</t>
  </si>
  <si>
    <t>Human Body Systems and Care of Disorders</t>
  </si>
  <si>
    <t>Creative and Therapeutic Activities in Health and Social Care</t>
  </si>
  <si>
    <t>Vocational Experience in Health and Social Care</t>
  </si>
  <si>
    <t>Community Volunteering in Health and Social Care</t>
  </si>
  <si>
    <t>Child Development and Observation</t>
  </si>
  <si>
    <t>Skills and Qualities for Working in the Health and Social Care Sector</t>
  </si>
  <si>
    <t>Understanding Disability</t>
  </si>
  <si>
    <t>Introduction to Dementia</t>
  </si>
  <si>
    <t>Social Influences on Health and Wellbeing</t>
  </si>
  <si>
    <t>Promoting Health and Wellbeing</t>
  </si>
  <si>
    <t>The Impact of Nutrition on Health and Wellbeing</t>
  </si>
  <si>
    <t>Services in Health and Social Care</t>
  </si>
  <si>
    <t>An Introduction to Basic First Aid</t>
  </si>
  <si>
    <t>Food Safety in Health and Social Care</t>
  </si>
  <si>
    <t>Infection Control in Health and Social Care</t>
  </si>
  <si>
    <t>Using ICT in Health and Social Care</t>
  </si>
  <si>
    <t>HSC A</t>
  </si>
  <si>
    <t>HSC B</t>
  </si>
  <si>
    <t>Introducing the Hospitality Industry</t>
  </si>
  <si>
    <t>Working in the Hospitality Industry</t>
  </si>
  <si>
    <t>Food Safety and Health and Safety in Hospitality</t>
  </si>
  <si>
    <t>How the Hospitality Industry Contributes to Healthy Lifestyles</t>
  </si>
  <si>
    <t>Teamwork in Hospitality</t>
  </si>
  <si>
    <t>Delivering the Hospitality Customer Experience</t>
  </si>
  <si>
    <t>Costing and Controlling Finances in the Hospitality Industry</t>
  </si>
  <si>
    <t>Enterprise in the Hospitality Industry</t>
  </si>
  <si>
    <t>Planning, Preparing, Cooking and Finishing Food</t>
  </si>
  <si>
    <t>Food and Beverage Service in the Hospitality Industry</t>
  </si>
  <si>
    <t>Front Office Services in the Hospitality Industry</t>
  </si>
  <si>
    <t>Marketing and Promotion in Hospitality</t>
  </si>
  <si>
    <t>Accommodation Services in the Hospitality Industry</t>
  </si>
  <si>
    <t>Planning and Running a Hospitality Event</t>
  </si>
  <si>
    <t>Contemporary World Food Cooking Skills</t>
  </si>
  <si>
    <t>Menu Planning</t>
  </si>
  <si>
    <t>Managing Finance in Hospitality</t>
  </si>
  <si>
    <t>Alcohol Awareness in Hospitality</t>
  </si>
  <si>
    <t>Hospitality Research Project</t>
  </si>
  <si>
    <t>Work Experience in Hospitality</t>
  </si>
  <si>
    <t>Hospitality Community Volunteering</t>
  </si>
  <si>
    <t>Sales and Merchandising in Hospitality</t>
  </si>
  <si>
    <t>Barista Skills in Hospitality</t>
  </si>
  <si>
    <t>The Online World</t>
  </si>
  <si>
    <t>Technology Systems</t>
  </si>
  <si>
    <t>A Digital Portfolio</t>
  </si>
  <si>
    <t>Multimedia Products Development</t>
  </si>
  <si>
    <t>Computational Thinking</t>
  </si>
  <si>
    <t>Computing in the Workplace</t>
  </si>
  <si>
    <t>Database Development</t>
  </si>
  <si>
    <t>Computer Networks</t>
  </si>
  <si>
    <t>Software Development</t>
  </si>
  <si>
    <t>Website Development</t>
  </si>
  <si>
    <t>Installing and Maintaining Computer Hardware</t>
  </si>
  <si>
    <t>Installing and Maintaining Computer Software</t>
  </si>
  <si>
    <t>Automated Computer Systems</t>
  </si>
  <si>
    <t>A Technology Business</t>
  </si>
  <si>
    <t>Computer Security in Practice</t>
  </si>
  <si>
    <t>Computer Systems Support in Practice</t>
  </si>
  <si>
    <t>Software Systems Development</t>
  </si>
  <si>
    <t>Creating Digital Animation</t>
  </si>
  <si>
    <t>Creating Digital Audio</t>
  </si>
  <si>
    <t>Creating Digital Graphics</t>
  </si>
  <si>
    <t>Creating Digital Video</t>
  </si>
  <si>
    <t>Mobile Apps Development</t>
  </si>
  <si>
    <t>Spreadsheet Development</t>
  </si>
  <si>
    <t>Building a Personal Computer</t>
  </si>
  <si>
    <t>IT Work Experience</t>
  </si>
  <si>
    <t>I&amp;CT A</t>
  </si>
  <si>
    <t>I&amp;CT B</t>
  </si>
  <si>
    <t>Comp Science A</t>
  </si>
  <si>
    <t>Sys Deve And Support</t>
  </si>
  <si>
    <t>The Music Industry</t>
  </si>
  <si>
    <t>Managing a Music Product</t>
  </si>
  <si>
    <t>Music and Production Analysis</t>
  </si>
  <si>
    <t>Music Showcase</t>
  </si>
  <si>
    <t>Researching a Music Topic</t>
  </si>
  <si>
    <t>Professional Skills in Music</t>
  </si>
  <si>
    <t>Introducing Live Sound</t>
  </si>
  <si>
    <t>Introducing Music Composition</t>
  </si>
  <si>
    <t>Introducing Music Performance</t>
  </si>
  <si>
    <t>Introducing Music Recording</t>
  </si>
  <si>
    <t>Introducing Music Sequencing</t>
  </si>
  <si>
    <t>Introducing Choral Studies</t>
  </si>
  <si>
    <t>Introducing Music Theory</t>
  </si>
  <si>
    <t>Developing Solo Music Performance</t>
  </si>
  <si>
    <t>The Development of Music</t>
  </si>
  <si>
    <t>Developing Music Composition</t>
  </si>
  <si>
    <t>Producing a Music Recording</t>
  </si>
  <si>
    <t>Music Ensemble</t>
  </si>
  <si>
    <t>Developing Modern Music Production Skills</t>
  </si>
  <si>
    <t>Developing Music Theory</t>
  </si>
  <si>
    <t>Music Fusion</t>
  </si>
  <si>
    <t>Music Arrangement</t>
  </si>
  <si>
    <t>Exploring Music Improvisation</t>
  </si>
  <si>
    <t>Exploring DJing</t>
  </si>
  <si>
    <t>Music Promotion</t>
  </si>
  <si>
    <t>Digital and Mobile Technology for Music</t>
  </si>
  <si>
    <t>Composing for Visual Media</t>
  </si>
  <si>
    <t>Enterprise and Music</t>
  </si>
  <si>
    <t>Individual Showcase</t>
  </si>
  <si>
    <t>Preparation, Performance and Production</t>
  </si>
  <si>
    <t>The Performing Arts Industry</t>
  </si>
  <si>
    <t>Performance in Context</t>
  </si>
  <si>
    <t>Community Arts</t>
  </si>
  <si>
    <t>Performing Arts Enterprise</t>
  </si>
  <si>
    <t>Acting Skills</t>
  </si>
  <si>
    <t>Dance Skills</t>
  </si>
  <si>
    <t>Musical Theatre Skills</t>
  </si>
  <si>
    <t>Music Performance Skills</t>
  </si>
  <si>
    <t>Production Skills for Performance</t>
  </si>
  <si>
    <t>Movement Skills</t>
  </si>
  <si>
    <t>Devising Performance Work</t>
  </si>
  <si>
    <t>Exploring Improvisation</t>
  </si>
  <si>
    <t>Multimedia Performance</t>
  </si>
  <si>
    <t>Voice and Speech for Performers</t>
  </si>
  <si>
    <t>Performing Scripted Plays</t>
  </si>
  <si>
    <t>Contemporary Dance Techniques</t>
  </si>
  <si>
    <t>Exploring Urban Dance Styles</t>
  </si>
  <si>
    <t>Jazz Dance Techniques</t>
  </si>
  <si>
    <t>Design Planning for Performance</t>
  </si>
  <si>
    <t>Realising Costume Design for Performance</t>
  </si>
  <si>
    <t>Realising Set Design for Performance</t>
  </si>
  <si>
    <t>Realising Prop Design for Performance</t>
  </si>
  <si>
    <t>Realising Mask Design for Performance</t>
  </si>
  <si>
    <t>Lighting for Performance</t>
  </si>
  <si>
    <t>Sound for Performance</t>
  </si>
  <si>
    <t>Supporting Performance: Stage Management</t>
  </si>
  <si>
    <t>Supporting Performance: Front of House</t>
  </si>
  <si>
    <t>Make-up for Performance</t>
  </si>
  <si>
    <t>Wardrobe for Stage Performance</t>
  </si>
  <si>
    <t>Choreographing Dance</t>
  </si>
  <si>
    <t>Directing Performance</t>
  </si>
  <si>
    <t>Planning and Managing a Performing Arts Event</t>
  </si>
  <si>
    <t>Multimedia Production</t>
  </si>
  <si>
    <t>Physical Theatre Performance</t>
  </si>
  <si>
    <t>Variety Performance</t>
  </si>
  <si>
    <t>Use of ICT in the Performing Arts</t>
  </si>
  <si>
    <t>Work Experience in the Performing Arts</t>
  </si>
  <si>
    <t>Singing Skills in the Performing Arts</t>
  </si>
  <si>
    <t>Performing Arts A</t>
  </si>
  <si>
    <t>Performing Arts B</t>
  </si>
  <si>
    <t>Acting A</t>
  </si>
  <si>
    <t>Acting B</t>
  </si>
  <si>
    <t>Dance A</t>
  </si>
  <si>
    <t>Dance B</t>
  </si>
  <si>
    <t>Production A</t>
  </si>
  <si>
    <t>Production B</t>
  </si>
  <si>
    <t>The Role and Work of the Public Services</t>
  </si>
  <si>
    <t>Working Skills in the Public Services Sector</t>
  </si>
  <si>
    <t>Citizenship, Society and the Public Services</t>
  </si>
  <si>
    <t>Crime and its Effects on Society and Individuals</t>
  </si>
  <si>
    <t>Employability Skills in the Public Services</t>
  </si>
  <si>
    <t>Carrying out a Project in Public Services</t>
  </si>
  <si>
    <t>Employment in the Public Services</t>
  </si>
  <si>
    <t>Public Services and Community Protection</t>
  </si>
  <si>
    <t>Health, Fitness and Lifestyle for the Public Services</t>
  </si>
  <si>
    <t>Promotion of Public Services Provision</t>
  </si>
  <si>
    <t>Community and Cultural Awareness</t>
  </si>
  <si>
    <t>Adventurous Activities in the Public Services</t>
  </si>
  <si>
    <t>Sport and Recreation in the Public Services</t>
  </si>
  <si>
    <t>Land Navigation by Map and Compass</t>
  </si>
  <si>
    <t>Volunteering for the Public Services</t>
  </si>
  <si>
    <t>Multi-day Expedition Experience</t>
  </si>
  <si>
    <t>Health and Safety in the Public Services</t>
  </si>
  <si>
    <t>Preparing to Respond to Emergency Incidents</t>
  </si>
  <si>
    <t>Security Procedures in the Public Services</t>
  </si>
  <si>
    <t>Law and its Impact on the Individual</t>
  </si>
  <si>
    <t>Expedition Experience</t>
  </si>
  <si>
    <t>Fitness for Sport and Exercise</t>
  </si>
  <si>
    <t>Practical Sports Performance</t>
  </si>
  <si>
    <t>The Mind and Sports Performance</t>
  </si>
  <si>
    <t>The Sports Performer in Action</t>
  </si>
  <si>
    <t>Training for Personal Fitness</t>
  </si>
  <si>
    <t>Anatomy and Physiology for Sports Performance</t>
  </si>
  <si>
    <t>Carrying Out a Sports-related Project</t>
  </si>
  <si>
    <t>Designing Exercise Programmes</t>
  </si>
  <si>
    <t>Facility Operations for Sport and Leisure</t>
  </si>
  <si>
    <t>Practical Land-based Outdoor and Adventurous Activities</t>
  </si>
  <si>
    <t>Practical Water-based Outdoor and Adventurous Activities</t>
  </si>
  <si>
    <t>Land-based Outdoor and Adventurous Activity Leadership</t>
  </si>
  <si>
    <t>Water-based Outdoor and Adventurous Activity Leadership</t>
  </si>
  <si>
    <t>Work Experience in Sport</t>
  </si>
  <si>
    <t>Leading Sports Activities</t>
  </si>
  <si>
    <t>Promotion and Sponsorship in Sport</t>
  </si>
  <si>
    <t>Lifestyle and Well-being</t>
  </si>
  <si>
    <t>Injury and the Sports Performer</t>
  </si>
  <si>
    <t>Running a Sports Event</t>
  </si>
  <si>
    <t>The Sport and Active Leisure Industry</t>
  </si>
  <si>
    <t>Profiling Sports Performance</t>
  </si>
  <si>
    <t>The Provision of Sport and Active Leisure</t>
  </si>
  <si>
    <t>Sport Community Volunteering</t>
  </si>
  <si>
    <t>Sport A</t>
  </si>
  <si>
    <t>Sport B</t>
  </si>
  <si>
    <t>Outdoor and Adventurous Activities A</t>
  </si>
  <si>
    <t>Outdoor and Adventurous Activities B</t>
  </si>
  <si>
    <t>Fitness and Exercise A</t>
  </si>
  <si>
    <t>Fitness and Exercise B</t>
  </si>
  <si>
    <t>The UK Travel and Tourism Sector</t>
  </si>
  <si>
    <t>UK Travel and Tourism Destinations</t>
  </si>
  <si>
    <t>The Development of Travel and Tourism in the UK</t>
  </si>
  <si>
    <t>International Travel and Tourism Destinations</t>
  </si>
  <si>
    <t>Factors Affecting Worldwide Travel and Tourism</t>
  </si>
  <si>
    <t>Travel and Tourism Business Environments</t>
  </si>
  <si>
    <t>Delivering the Travel and Tourism Customer Experience</t>
  </si>
  <si>
    <t>Promotion and Sales in Travel and Tourism</t>
  </si>
  <si>
    <t>Travel and Tourism Employment Opportunities</t>
  </si>
  <si>
    <t>Organising a Travel and Tourism Study Visit</t>
  </si>
  <si>
    <t>Marketing in Travel and Tourism</t>
  </si>
  <si>
    <t>Airports and Airlines</t>
  </si>
  <si>
    <t>Travel and Tourism Research Project</t>
  </si>
  <si>
    <t>Work-related Experience in Travel and Tourism</t>
  </si>
  <si>
    <t>Holiday Representatives</t>
  </si>
  <si>
    <t>UK Travel Agency Operations</t>
  </si>
  <si>
    <t>The Cruise Industry</t>
  </si>
  <si>
    <t>Hospitality Operations in the Travel and Tourism Sector</t>
  </si>
  <si>
    <t>UK Visitor Attractions</t>
  </si>
  <si>
    <t>Overseas Holiday Operations</t>
  </si>
  <si>
    <t>Unit 6</t>
  </si>
  <si>
    <t>Unit 16</t>
  </si>
  <si>
    <t>Forbidden</t>
  </si>
  <si>
    <t>Unit 7</t>
  </si>
  <si>
    <t>Unit 17</t>
  </si>
  <si>
    <t>Unit 8</t>
  </si>
  <si>
    <t>Unit 18</t>
  </si>
  <si>
    <t>Unit 9</t>
  </si>
  <si>
    <t>Unit 19</t>
  </si>
  <si>
    <t>Unit 10</t>
  </si>
  <si>
    <t>Unit 20</t>
  </si>
  <si>
    <t>Unit 13</t>
  </si>
  <si>
    <t>Unit 4</t>
  </si>
  <si>
    <t>Choose a maximum of two units from Group B</t>
  </si>
  <si>
    <t>Applied Science A</t>
  </si>
  <si>
    <t>Art and Design A</t>
  </si>
  <si>
    <t>Construction</t>
  </si>
  <si>
    <t>The Health and Social Care Sector</t>
  </si>
  <si>
    <t>The Early Years Sector</t>
  </si>
  <si>
    <t>HSC</t>
  </si>
  <si>
    <t>I&amp;CT</t>
  </si>
  <si>
    <t>PA A</t>
  </si>
  <si>
    <t>PA B</t>
  </si>
  <si>
    <t>The Travel and Tourism Customer Experience</t>
  </si>
  <si>
    <t>Creative Digital Media Production A</t>
  </si>
  <si>
    <t>Creative Digital Media Production B</t>
  </si>
  <si>
    <t>Choose a maximum of one unit from Group B</t>
  </si>
  <si>
    <t>Musical Theatre A</t>
  </si>
  <si>
    <t>Musical Theatre B</t>
  </si>
  <si>
    <t>Public Services A</t>
  </si>
  <si>
    <t>Travel A</t>
  </si>
  <si>
    <t>Application of Chemical Substances</t>
  </si>
  <si>
    <t>Application of Physical Science</t>
  </si>
  <si>
    <t>Chemistry and Our Earth</t>
  </si>
  <si>
    <t>Energy and Our Universe</t>
  </si>
  <si>
    <t>Biology and Our Environment</t>
  </si>
  <si>
    <t>Business 2012 A</t>
  </si>
  <si>
    <t>Introduction to Business</t>
  </si>
  <si>
    <t>Business 2018 A</t>
  </si>
  <si>
    <t>Core</t>
  </si>
  <si>
    <t>Construction 2013</t>
  </si>
  <si>
    <t>Construction 2018</t>
  </si>
  <si>
    <t>Media</t>
  </si>
  <si>
    <t>Electrical and Electronic Circuit Construction and Testing</t>
  </si>
  <si>
    <t>Computer Applications in Engineering</t>
  </si>
  <si>
    <t>Engineering Materials and Manufacturing</t>
  </si>
  <si>
    <t>Materials Used in Engineered Products</t>
  </si>
  <si>
    <t>Program and Use a Computer Numerical Control (CNC) Machine</t>
  </si>
  <si>
    <t>Equine Health and Welfare</t>
  </si>
  <si>
    <t>Equine Husbandry</t>
  </si>
  <si>
    <t>Horse Handling</t>
  </si>
  <si>
    <t>Equine Behaviour</t>
  </si>
  <si>
    <t>Equine Tack, Equipment and Clothing</t>
  </si>
  <si>
    <t>Hospitlaity</t>
  </si>
  <si>
    <t>ICT</t>
  </si>
  <si>
    <t>Perf Arts</t>
  </si>
  <si>
    <t>Applying the Principles of Personal Training</t>
  </si>
  <si>
    <t>Travel 2013</t>
  </si>
  <si>
    <t>Travel 2018</t>
  </si>
  <si>
    <t>Select the size of qualification</t>
  </si>
  <si>
    <t>Diploma</t>
  </si>
  <si>
    <t>Extended Certificate</t>
  </si>
  <si>
    <t>Certificate</t>
  </si>
  <si>
    <t>Disclaimer: Please read carefully.</t>
  </si>
  <si>
    <t xml:space="preserve">Please remember that this tool is useful for calculating a learner's overall BTEC grade or helping to estimate a learner's achievement. It is NOT in any way a guarantee of any grade or outcome. </t>
  </si>
  <si>
    <t>Patterns of Child Development</t>
  </si>
  <si>
    <t>CPLD</t>
  </si>
  <si>
    <t>Promoting Children’s Development Through Play</t>
  </si>
  <si>
    <t>The Principles of Early Years Practice</t>
  </si>
  <si>
    <t>Promoting Children’s Positive Behaviour</t>
  </si>
  <si>
    <t>Health and Safety in Early Years Settings</t>
  </si>
  <si>
    <t>Supporting Children’s Language and Literacy Development</t>
  </si>
  <si>
    <t>Making Healthy Food Choices for Children</t>
  </si>
  <si>
    <t>Introduction to Working in the Early Years Sector</t>
  </si>
  <si>
    <t>Choose four to six optional units</t>
  </si>
  <si>
    <t>Choose up to four optional units to a total of 240 GLH</t>
  </si>
  <si>
    <t>Choose two units from Group A</t>
  </si>
  <si>
    <t>Choose five units from Group B</t>
  </si>
  <si>
    <t>Choose one optional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</si>
</sst>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name val="Arial"/>
      <family val="2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A7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FA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0" borderId="0"/>
    <xf numFmtId="0" fontId="9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3" borderId="0" xfId="0" applyFill="1"/>
    <xf numFmtId="0" fontId="4" fillId="4" borderId="0" xfId="0" applyFont="1" applyFill="1" applyAlignment="1">
      <alignment horizontal="center" vertical="center"/>
    </xf>
    <xf numFmtId="0" fontId="1" fillId="4" borderId="0" xfId="0" applyFont="1" applyFill="1"/>
    <xf numFmtId="0" fontId="5" fillId="4" borderId="0" xfId="0" applyFont="1" applyFill="1" applyAlignment="1">
      <alignment horizontal="center" vertical="center"/>
    </xf>
    <xf numFmtId="0" fontId="6" fillId="4" borderId="0" xfId="0" applyFont="1" applyFill="1"/>
    <xf numFmtId="0" fontId="0" fillId="0" borderId="0" xfId="0" applyAlignment="1"/>
    <xf numFmtId="0" fontId="7" fillId="0" borderId="0" xfId="1"/>
    <xf numFmtId="0" fontId="1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 hidden="1"/>
    </xf>
    <xf numFmtId="0" fontId="1" fillId="2" borderId="0" xfId="0" applyFont="1" applyFill="1" applyAlignment="1" applyProtection="1">
      <alignment horizontal="center" vertical="center"/>
      <protection locked="0" hidden="1"/>
    </xf>
    <xf numFmtId="0" fontId="1" fillId="2" borderId="0" xfId="0" applyFont="1" applyFill="1" applyProtection="1">
      <protection locked="0" hidden="1"/>
    </xf>
    <xf numFmtId="0" fontId="0" fillId="0" borderId="0" xfId="0" applyProtection="1">
      <protection locked="0" hidden="1"/>
    </xf>
    <xf numFmtId="0" fontId="0" fillId="2" borderId="0" xfId="0" applyFill="1" applyAlignment="1" applyProtection="1">
      <alignment horizontal="center" vertical="center"/>
      <protection locked="0" hidden="1"/>
    </xf>
    <xf numFmtId="0" fontId="2" fillId="0" borderId="0" xfId="0" applyFont="1" applyProtection="1">
      <protection locked="0" hidden="1"/>
    </xf>
    <xf numFmtId="0" fontId="1" fillId="0" borderId="0" xfId="0" applyFont="1" applyFill="1" applyAlignment="1" applyProtection="1">
      <alignment horizontal="center" vertical="center"/>
      <protection locked="0" hidden="1"/>
    </xf>
    <xf numFmtId="0" fontId="0" fillId="0" borderId="0" xfId="0" applyProtection="1">
      <protection hidden="1"/>
    </xf>
    <xf numFmtId="0" fontId="0" fillId="0" borderId="0" xfId="0" applyAlignment="1" applyProtection="1">
      <alignment vertical="center"/>
      <protection hidden="1"/>
    </xf>
    <xf numFmtId="0" fontId="10" fillId="0" borderId="0" xfId="0" applyFont="1"/>
    <xf numFmtId="0" fontId="14" fillId="0" borderId="0" xfId="0" applyFont="1" applyAlignment="1">
      <alignment horizontal="center" vertical="center"/>
    </xf>
    <xf numFmtId="0" fontId="1" fillId="0" borderId="0" xfId="0" applyFont="1"/>
    <xf numFmtId="0" fontId="11" fillId="0" borderId="0" xfId="0" applyFont="1" applyAlignment="1">
      <alignment horizontal="center" vertical="top" wrapText="1"/>
    </xf>
    <xf numFmtId="0" fontId="8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2" fillId="2" borderId="0" xfId="2" applyFont="1" applyFill="1" applyAlignment="1" applyProtection="1">
      <alignment horizontal="center" vertical="center"/>
      <protection hidden="1"/>
    </xf>
    <xf numFmtId="0" fontId="13" fillId="2" borderId="0" xfId="2" applyFont="1" applyFill="1" applyAlignment="1" applyProtection="1">
      <alignment horizontal="center" vertical="center"/>
      <protection hidden="1"/>
    </xf>
  </cellXfs>
  <cellStyles count="3">
    <cellStyle name="Hyperlink" xfId="2" builtinId="8"/>
    <cellStyle name="Normal" xfId="0" builtinId="0"/>
    <cellStyle name="Normal 3 2" xfId="1"/>
  </cellStyles>
  <dxfs count="0"/>
  <tableStyles count="0" defaultTableStyle="TableStyleMedium2" defaultPivotStyle="PivotStyleLight16"/>
  <colors>
    <mruColors>
      <color rgb="FFEA7600"/>
      <color rgb="FF007F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95250</xdr:rowOff>
    </xdr:from>
    <xdr:to>
      <xdr:col>2</xdr:col>
      <xdr:colOff>438150</xdr:colOff>
      <xdr:row>4</xdr:row>
      <xdr:rowOff>160755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95250"/>
          <a:ext cx="1047750" cy="8275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O22"/>
  <sheetViews>
    <sheetView showGridLines="0" showRowColHeaders="0" tabSelected="1" workbookViewId="0">
      <selection activeCell="J11" sqref="J11:N13"/>
    </sheetView>
  </sheetViews>
  <sheetFormatPr defaultRowHeight="15" x14ac:dyDescent="0.25"/>
  <sheetData>
    <row r="1" spans="1:15" x14ac:dyDescent="0.2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</row>
    <row r="2" spans="1:15" x14ac:dyDescent="0.25">
      <c r="A2" s="18"/>
      <c r="B2" s="24" t="s">
        <v>561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3" spans="1:15" x14ac:dyDescent="0.25">
      <c r="A3" s="18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</row>
    <row r="4" spans="1:15" x14ac:dyDescent="0.25">
      <c r="A4" s="18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</row>
    <row r="5" spans="1:1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8"/>
      <c r="B6" s="18"/>
      <c r="C6" s="26" t="s">
        <v>562</v>
      </c>
      <c r="D6" s="26"/>
      <c r="E6" s="26"/>
      <c r="F6" s="26"/>
      <c r="G6" s="26"/>
      <c r="H6" s="18"/>
      <c r="I6" s="18"/>
      <c r="J6" s="26" t="s">
        <v>563</v>
      </c>
      <c r="K6" s="27"/>
      <c r="L6" s="27"/>
      <c r="M6" s="27"/>
      <c r="N6" s="27"/>
      <c r="O6" s="18"/>
    </row>
    <row r="7" spans="1:15" x14ac:dyDescent="0.25">
      <c r="A7" s="18"/>
      <c r="B7" s="18"/>
      <c r="C7" s="26"/>
      <c r="D7" s="26"/>
      <c r="E7" s="26"/>
      <c r="F7" s="26"/>
      <c r="G7" s="26"/>
      <c r="H7" s="18"/>
      <c r="I7" s="18"/>
      <c r="J7" s="27"/>
      <c r="K7" s="27"/>
      <c r="L7" s="27"/>
      <c r="M7" s="27"/>
      <c r="N7" s="27"/>
      <c r="O7" s="18"/>
    </row>
    <row r="8" spans="1:15" x14ac:dyDescent="0.25">
      <c r="A8" s="18"/>
      <c r="B8" s="18"/>
      <c r="C8" s="26"/>
      <c r="D8" s="26"/>
      <c r="E8" s="26"/>
      <c r="F8" s="26"/>
      <c r="G8" s="26"/>
      <c r="H8" s="18"/>
      <c r="I8" s="18"/>
      <c r="J8" s="27"/>
      <c r="K8" s="27"/>
      <c r="L8" s="27"/>
      <c r="M8" s="27"/>
      <c r="N8" s="27"/>
      <c r="O8" s="18"/>
    </row>
    <row r="9" spans="1:15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8"/>
      <c r="B11" s="18"/>
      <c r="C11" s="26" t="s">
        <v>564</v>
      </c>
      <c r="D11" s="26"/>
      <c r="E11" s="26"/>
      <c r="F11" s="26"/>
      <c r="G11" s="26"/>
      <c r="H11" s="19"/>
      <c r="I11" s="19"/>
      <c r="J11" s="26" t="s">
        <v>40</v>
      </c>
      <c r="K11" s="26"/>
      <c r="L11" s="26"/>
      <c r="M11" s="26"/>
      <c r="N11" s="26"/>
      <c r="O11" s="18"/>
    </row>
    <row r="12" spans="1:15" x14ac:dyDescent="0.25">
      <c r="A12" s="18"/>
      <c r="B12" s="18"/>
      <c r="C12" s="26"/>
      <c r="D12" s="26"/>
      <c r="E12" s="26"/>
      <c r="F12" s="26"/>
      <c r="G12" s="26"/>
      <c r="H12" s="19"/>
      <c r="I12" s="19"/>
      <c r="J12" s="26"/>
      <c r="K12" s="26"/>
      <c r="L12" s="26"/>
      <c r="M12" s="26"/>
      <c r="N12" s="26"/>
      <c r="O12" s="18"/>
    </row>
    <row r="13" spans="1:15" x14ac:dyDescent="0.25">
      <c r="A13" s="18"/>
      <c r="B13" s="18"/>
      <c r="C13" s="26"/>
      <c r="D13" s="26"/>
      <c r="E13" s="26"/>
      <c r="F13" s="26"/>
      <c r="G13" s="26"/>
      <c r="H13" s="19"/>
      <c r="I13" s="19"/>
      <c r="J13" s="26"/>
      <c r="K13" s="26"/>
      <c r="L13" s="26"/>
      <c r="M13" s="26"/>
      <c r="N13" s="26"/>
      <c r="O13" s="18"/>
    </row>
    <row r="14" spans="1:15" x14ac:dyDescent="0.25">
      <c r="A14" s="18"/>
      <c r="B14" s="18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8"/>
    </row>
    <row r="15" spans="1:15" x14ac:dyDescent="0.25">
      <c r="A15" s="18"/>
      <c r="B15" s="18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8"/>
    </row>
    <row r="16" spans="1:15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ht="18.75" x14ac:dyDescent="0.3">
      <c r="A18" s="18"/>
      <c r="B18" s="18"/>
      <c r="C18" s="20" t="s">
        <v>565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25">
      <c r="A19" s="18"/>
      <c r="B19" s="18"/>
      <c r="C19" s="23" t="s">
        <v>566</v>
      </c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18"/>
    </row>
    <row r="20" spans="1:15" x14ac:dyDescent="0.25">
      <c r="A20" s="18"/>
      <c r="B20" s="18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18"/>
    </row>
    <row r="21" spans="1:15" x14ac:dyDescent="0.25">
      <c r="A21" s="18"/>
      <c r="B21" s="18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18"/>
    </row>
    <row r="22" spans="1:15" x14ac:dyDescent="0.25">
      <c r="A22" s="18"/>
      <c r="B22" s="18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18"/>
    </row>
  </sheetData>
  <sheetProtection password="85BF" sheet="1" objects="1" scenarios="1"/>
  <mergeCells count="6">
    <mergeCell ref="C19:N22"/>
    <mergeCell ref="B2:O4"/>
    <mergeCell ref="C6:G8"/>
    <mergeCell ref="J6:N8"/>
    <mergeCell ref="C11:G13"/>
    <mergeCell ref="J11:N13"/>
  </mergeCells>
  <hyperlinks>
    <hyperlink ref="C6:G8" location="Diploma!A1" display="Diploma"/>
    <hyperlink ref="J6:N8" location="'Ext Cert'!E3" display="Extended Certificate"/>
    <hyperlink ref="C11:G13" location="Cert!A1" display="Certificate"/>
    <hyperlink ref="J11:N13" location="Award!A1" display="Award"/>
  </hyperlink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Y49"/>
  <sheetViews>
    <sheetView showGridLines="0" workbookViewId="0">
      <selection activeCell="E3" sqref="E3"/>
    </sheetView>
  </sheetViews>
  <sheetFormatPr defaultRowHeight="15" x14ac:dyDescent="0.25"/>
  <cols>
    <col min="1" max="2" width="10.5703125" bestFit="1" customWidth="1"/>
    <col min="3" max="3" width="17.7109375" bestFit="1" customWidth="1"/>
    <col min="4" max="4" width="13.85546875" bestFit="1" customWidth="1"/>
    <col min="5" max="5" width="83.5703125" bestFit="1" customWidth="1"/>
    <col min="7" max="7" width="17.140625" bestFit="1" customWidth="1"/>
    <col min="8" max="8" width="5.7109375" hidden="1" customWidth="1"/>
    <col min="9" max="9" width="16.42578125" customWidth="1"/>
    <col min="10" max="25" width="9.140625" hidden="1" customWidth="1"/>
    <col min="26" max="26" width="0" hidden="1" customWidth="1"/>
  </cols>
  <sheetData>
    <row r="1" spans="2:11" ht="84.75" customHeight="1" x14ac:dyDescent="0.25"/>
    <row r="3" spans="2:11" ht="18.75" x14ac:dyDescent="0.25">
      <c r="E3" s="11"/>
    </row>
    <row r="7" spans="2:11" ht="15.75" x14ac:dyDescent="0.25">
      <c r="C7" s="2" t="s">
        <v>5</v>
      </c>
      <c r="D7" s="2" t="s">
        <v>6</v>
      </c>
      <c r="E7" s="2" t="s">
        <v>7</v>
      </c>
      <c r="F7" s="2" t="s">
        <v>0</v>
      </c>
      <c r="G7" s="2" t="s">
        <v>1</v>
      </c>
      <c r="H7" s="2"/>
      <c r="I7" s="2" t="s">
        <v>2</v>
      </c>
    </row>
    <row r="8" spans="2:11" hidden="1" x14ac:dyDescent="0.25">
      <c r="B8" s="1">
        <f t="array" ref="B8">IFERROR(INDEX('Award Data Sheet'!$A$3:$F$990,SMALL(IF('Award Data Sheet'!$A$3:$A$990=$E$3,ROW('Award Data Sheet'!$A$3:$A$990)),ROW(1:1))-2,6),"")</f>
        <v>0</v>
      </c>
      <c r="C8" s="1">
        <f t="array" ref="C8">IFERROR(INDEX('Award Data Sheet'!$A$3:$E$990,SMALL(IF('Award Data Sheet'!$A$3:$A$990=$E$3,ROW('Award Data Sheet'!$A$3:$A$990)),ROW(1:1))-2,5),"")</f>
        <v>0</v>
      </c>
      <c r="D8" s="1">
        <f t="array" ref="D8">IFERROR(INDEX('Award Data Sheet'!$A$3:$E$990,SMALL(IF('Award Data Sheet'!$A$3:$A$990=$E$3,ROW('Award Data Sheet'!$A$3:$A$990)),ROW(1:1))-2,2),"")</f>
        <v>0</v>
      </c>
      <c r="E8">
        <f t="array" ref="E8">IFERROR(INDEX('Award Data Sheet'!$A$3:$E$990,SMALL(IF('Award Data Sheet'!$A$3:$A$990=$E$3,ROW('Award Data Sheet'!$A$3:$A$990)),ROW(1:1))-2,3),"")</f>
        <v>0</v>
      </c>
      <c r="F8" s="1">
        <f t="array" ref="F8">IFERROR(INDEX('Award Data Sheet'!$A$3:$E$990,SMALL(IF('Award Data Sheet'!$A$3:$A$990=$E$3,ROW('Award Data Sheet'!$A$3:$A$990)),ROW(1:1))-2,4),"")</f>
        <v>0</v>
      </c>
      <c r="G8" s="12"/>
      <c r="H8" t="str">
        <f>IFERROR(IF(G8="","",VLOOKUP(G8,Points!$A$2:$B$6,2,FALSE)),"")</f>
        <v/>
      </c>
      <c r="I8" s="1" t="str">
        <f>IFERROR(SUM(H8*(F8/10)),"")</f>
        <v/>
      </c>
      <c r="J8" t="str">
        <f>IF(B8="Core",I8,"")</f>
        <v/>
      </c>
      <c r="K8" t="str">
        <f>IF(AND($E$3="Business 2018",B8="Mandatory"),I8,IF(AND($E$3="Construction and the Built Environment 2018",B8="Mandatory"),I8,IF(AND($E$3="Sport 2018",B8="Mandatory"),I8,IF(AND($E$3="Travel and Tourism 2018",B8="Mandatory"),I8,""))))</f>
        <v/>
      </c>
    </row>
    <row r="9" spans="2:11" hidden="1" x14ac:dyDescent="0.25">
      <c r="B9" s="1">
        <f t="array" ref="B9">IFERROR(INDEX('Award Data Sheet'!$A$3:$F$990,SMALL(IF('Award Data Sheet'!$A$3:$A$990=$E$3,ROW('Award Data Sheet'!$A$3:$A$990)),ROW(2:2))-2,6),"")</f>
        <v>0</v>
      </c>
      <c r="C9" s="1">
        <f t="array" ref="C9">IFERROR(INDEX('Award Data Sheet'!$A$3:$E$990,SMALL(IF('Award Data Sheet'!$A$3:$A$990=$E$3,ROW('Award Data Sheet'!$A$3:$A$990)),ROW(2:2))-2,5),"")</f>
        <v>0</v>
      </c>
      <c r="D9" s="1">
        <f t="array" ref="D9">IFERROR(INDEX('Award Data Sheet'!$A$3:$E$990,SMALL(IF('Award Data Sheet'!$A$3:$A$990=$E$3,ROW('Award Data Sheet'!$A$3:$A$990)),ROW(2:2))-2,2),"")</f>
        <v>0</v>
      </c>
      <c r="E9">
        <f t="array" ref="E9">IFERROR(INDEX('Award Data Sheet'!$A$3:$E$990,SMALL(IF('Award Data Sheet'!$A$3:$A$990=$E$3,ROW('Award Data Sheet'!$A$3:$A$990)),ROW(2:2))-2,3),"")</f>
        <v>0</v>
      </c>
      <c r="F9" s="1">
        <f t="array" ref="F9">IFERROR(INDEX('Award Data Sheet'!$A$3:$E$990,SMALL(IF('Award Data Sheet'!$A$3:$A$990=$E$3,ROW('Award Data Sheet'!$A$3:$A$990)),ROW(2:2))-2,4),"")</f>
        <v>0</v>
      </c>
      <c r="G9" s="12"/>
      <c r="H9" t="str">
        <f>IFERROR(IF(G9="","",VLOOKUP(G9,Points!$A$2:$B$6,2,FALSE)),"")</f>
        <v/>
      </c>
      <c r="I9" s="1" t="str">
        <f>IFERROR(SUM(H9*(F9/10)),"")</f>
        <v/>
      </c>
      <c r="J9" t="str">
        <f t="shared" ref="J9:J17" si="0">IF(B9="Core",I9,"")</f>
        <v/>
      </c>
      <c r="K9" t="str">
        <f t="shared" ref="K9:K10" si="1">IF(AND($E$3="Business 2018",B9="Mandatory"),I9,IF(AND($E$3="Construction and the Built Environment 2018",B9="Mandatory"),I9,IF(AND($E$3="Sport 2018",B9="Mandatory"),I9,IF(AND($E$3="Travel and Tourism 2018",B9="Mandatory"),I9,""))))</f>
        <v/>
      </c>
    </row>
    <row r="10" spans="2:11" hidden="1" x14ac:dyDescent="0.25">
      <c r="B10" s="1">
        <f t="array" ref="B10">IFERROR(INDEX('Award Data Sheet'!$A$3:$F$990,SMALL(IF('Award Data Sheet'!$A$3:$A$990=$E$3,ROW('Award Data Sheet'!$A$3:$A$990)),ROW(3:3))-2,6),"")</f>
        <v>0</v>
      </c>
      <c r="C10" s="1">
        <f t="array" ref="C10">IFERROR(INDEX('Award Data Sheet'!$A$3:$E$990,SMALL(IF('Award Data Sheet'!$A$3:$A$990=$E$3,ROW('Award Data Sheet'!$A$3:$A$990)),ROW(3:3))-2,5),"")</f>
        <v>0</v>
      </c>
      <c r="D10" s="1">
        <f t="array" ref="D10">IFERROR(INDEX('Award Data Sheet'!$A$3:$E$990,SMALL(IF('Award Data Sheet'!$A$3:$A$990=$E$3,ROW('Award Data Sheet'!$A$3:$A$990)),ROW(3:3))-2,2),"")</f>
        <v>0</v>
      </c>
      <c r="E10">
        <f t="array" ref="E10">IFERROR(INDEX('Award Data Sheet'!$A$3:$E$990,SMALL(IF('Award Data Sheet'!$A$3:$A$990=$E$3,ROW('Award Data Sheet'!$A$3:$A$990)),ROW(3:3))-2,3),"")</f>
        <v>0</v>
      </c>
      <c r="F10" s="1">
        <f t="array" ref="F10">IFERROR(INDEX('Award Data Sheet'!$A$3:$E$990,SMALL(IF('Award Data Sheet'!$A$3:$A$990=$E$3,ROW('Award Data Sheet'!$A$3:$A$990)),ROW(3:3))-2,4),"")</f>
        <v>0</v>
      </c>
      <c r="G10" s="12"/>
      <c r="H10" t="str">
        <f>IFERROR(IF(G10="","",VLOOKUP(G10,Points!$A$2:$B$6,2,FALSE)),"")</f>
        <v/>
      </c>
      <c r="I10" s="1" t="str">
        <f t="shared" ref="I10:I17" si="2">IFERROR(SUM(H10*(F10/10)),"")</f>
        <v/>
      </c>
      <c r="J10" t="str">
        <f t="shared" si="0"/>
        <v/>
      </c>
      <c r="K10" t="str">
        <f t="shared" si="1"/>
        <v/>
      </c>
    </row>
    <row r="11" spans="2:11" hidden="1" x14ac:dyDescent="0.25">
      <c r="B11" s="1">
        <f t="array" ref="B11">IFERROR(INDEX('Award Data Sheet'!$A$3:$F$990,SMALL(IF('Award Data Sheet'!$A$3:$A$990=$E$3,ROW('Award Data Sheet'!$A$3:$A$990)),ROW(4:4))-2,6),"")</f>
        <v>0</v>
      </c>
      <c r="C11" s="1">
        <f t="array" ref="C11">IFERROR(INDEX('Award Data Sheet'!$A$3:$E$990,SMALL(IF('Award Data Sheet'!$A$3:$A$990=$E$3,ROW('Award Data Sheet'!$A$3:$A$990)),ROW(4:4))-2,5),"")</f>
        <v>0</v>
      </c>
      <c r="D11" s="1">
        <f t="array" ref="D11">IFERROR(INDEX('Award Data Sheet'!$A$3:$E$990,SMALL(IF('Award Data Sheet'!$A$3:$A$990=$E$3,ROW('Award Data Sheet'!$A$3:$A$990)),ROW(4:4))-2,2),"")</f>
        <v>0</v>
      </c>
      <c r="E11">
        <f t="array" ref="E11">IFERROR(INDEX('Award Data Sheet'!$A$3:$E$990,SMALL(IF('Award Data Sheet'!$A$3:$A$990=$E$3,ROW('Award Data Sheet'!$A$3:$A$990)),ROW(4:4))-2,3),"")</f>
        <v>0</v>
      </c>
      <c r="F11" s="1">
        <f t="array" ref="F11">IFERROR(INDEX('Award Data Sheet'!$A$3:$E$990,SMALL(IF('Award Data Sheet'!$A$3:$A$990=$E$3,ROW('Award Data Sheet'!$A$3:$A$990)),ROW(4:4))-2,4),"")</f>
        <v>0</v>
      </c>
      <c r="G11" s="12"/>
      <c r="H11" t="str">
        <f>IFERROR(IF(G11="","",VLOOKUP(G11,Points!$A$2:$B$6,2,FALSE)),"")</f>
        <v/>
      </c>
      <c r="I11" s="1" t="str">
        <f t="shared" si="2"/>
        <v/>
      </c>
      <c r="J11" t="str">
        <f t="shared" si="0"/>
        <v/>
      </c>
    </row>
    <row r="12" spans="2:11" hidden="1" x14ac:dyDescent="0.25">
      <c r="B12" s="1">
        <f t="array" ref="B12">IFERROR(INDEX('Award Data Sheet'!$A$3:$F$990,SMALL(IF('Award Data Sheet'!$A$3:$A$990=$E$3,ROW('Award Data Sheet'!$A$3:$A$990)),ROW(5:5))-2,6),"")</f>
        <v>0</v>
      </c>
      <c r="C12" s="1">
        <f t="array" ref="C12">IFERROR(INDEX('Award Data Sheet'!$A$3:$E$990,SMALL(IF('Award Data Sheet'!$A$3:$A$990=$E$3,ROW('Award Data Sheet'!$A$3:$A$990)),ROW(5:5))-2,5),"")</f>
        <v>0</v>
      </c>
      <c r="D12" s="1">
        <f t="array" ref="D12">IFERROR(INDEX('Award Data Sheet'!$A$3:$E$990,SMALL(IF('Award Data Sheet'!$A$3:$A$990=$E$3,ROW('Award Data Sheet'!$A$3:$A$990)),ROW(5:5))-2,2),"")</f>
        <v>0</v>
      </c>
      <c r="E12">
        <f t="array" ref="E12">IFERROR(INDEX('Award Data Sheet'!$A$3:$E$990,SMALL(IF('Award Data Sheet'!$A$3:$A$990=$E$3,ROW('Award Data Sheet'!$A$3:$A$990)),ROW(5:5))-2,3),"")</f>
        <v>0</v>
      </c>
      <c r="F12" s="1">
        <f t="array" ref="F12">IFERROR(INDEX('Award Data Sheet'!$A$3:$E$990,SMALL(IF('Award Data Sheet'!$A$3:$A$990=$E$3,ROW('Award Data Sheet'!$A$3:$A$990)),ROW(5:5))-2,4),"")</f>
        <v>0</v>
      </c>
      <c r="G12" s="12"/>
      <c r="H12" t="str">
        <f>IFERROR(IF(G12="","",VLOOKUP(G12,Points!$A$2:$B$6,2,FALSE)),"")</f>
        <v/>
      </c>
      <c r="I12" s="1" t="str">
        <f t="shared" si="2"/>
        <v/>
      </c>
      <c r="J12" t="str">
        <f t="shared" si="0"/>
        <v/>
      </c>
    </row>
    <row r="13" spans="2:11" hidden="1" x14ac:dyDescent="0.25">
      <c r="B13" s="1">
        <f t="array" ref="B13">IFERROR(INDEX('Award Data Sheet'!$A$3:$F$990,SMALL(IF('Award Data Sheet'!$A$3:$A$990=$E$3,ROW('Award Data Sheet'!$A$3:$A$990)),ROW(6:6))-2,6),"")</f>
        <v>0</v>
      </c>
      <c r="C13" s="1">
        <f t="array" ref="C13">IFERROR(INDEX('Award Data Sheet'!$A$3:$E$990,SMALL(IF('Award Data Sheet'!$A$3:$A$990=$E$3,ROW('Award Data Sheet'!$A$3:$A$990)),ROW(6:6))-2,5),"")</f>
        <v>0</v>
      </c>
      <c r="D13" s="1">
        <f t="array" ref="D13">IFERROR(INDEX('Award Data Sheet'!$A$3:$E$990,SMALL(IF('Award Data Sheet'!$A$3:$A$990=$E$3,ROW('Award Data Sheet'!$A$3:$A$990)),ROW(6:6))-2,2),"")</f>
        <v>0</v>
      </c>
      <c r="E13">
        <f t="array" ref="E13">IFERROR(INDEX('Award Data Sheet'!$A$3:$E$990,SMALL(IF('Award Data Sheet'!$A$3:$A$990=$E$3,ROW('Award Data Sheet'!$A$3:$A$990)),ROW(6:6))-2,3),"")</f>
        <v>0</v>
      </c>
      <c r="F13" s="1">
        <f t="array" ref="F13">IFERROR(INDEX('Award Data Sheet'!$A$3:$E$990,SMALL(IF('Award Data Sheet'!$A$3:$A$990=$E$3,ROW('Award Data Sheet'!$A$3:$A$990)),ROW(6:6))-2,4),"")</f>
        <v>0</v>
      </c>
      <c r="G13" s="12"/>
      <c r="H13" t="str">
        <f>IFERROR(IF(G13="","",VLOOKUP(G13,Points!$A$2:$B$6,2,FALSE)),"")</f>
        <v/>
      </c>
      <c r="I13" s="1" t="str">
        <f t="shared" si="2"/>
        <v/>
      </c>
      <c r="J13" t="str">
        <f t="shared" si="0"/>
        <v/>
      </c>
    </row>
    <row r="14" spans="2:11" hidden="1" x14ac:dyDescent="0.25">
      <c r="B14" s="1">
        <f t="array" ref="B14">IFERROR(INDEX('Award Data Sheet'!$A$3:$F$990,SMALL(IF('Award Data Sheet'!$A$3:$A$990=$E$3,ROW('Award Data Sheet'!$A$3:$A$990)),ROW(7:7))-2,6),"")</f>
        <v>0</v>
      </c>
      <c r="C14" s="1">
        <f t="array" ref="C14">IFERROR(INDEX('Award Data Sheet'!$A$3:$E$990,SMALL(IF('Award Data Sheet'!$A$3:$A$990=$E$3,ROW('Award Data Sheet'!$A$3:$A$990)),ROW(7:7))-2,5),"")</f>
        <v>0</v>
      </c>
      <c r="D14" s="1">
        <f t="array" ref="D14">IFERROR(INDEX('Award Data Sheet'!$A$3:$E$990,SMALL(IF('Award Data Sheet'!$A$3:$A$990=$E$3,ROW('Award Data Sheet'!$A$3:$A$990)),ROW(7:7))-2,2),"")</f>
        <v>0</v>
      </c>
      <c r="E14">
        <f t="array" ref="E14">IFERROR(INDEX('Award Data Sheet'!$A$3:$E$990,SMALL(IF('Award Data Sheet'!$A$3:$A$990=$E$3,ROW('Award Data Sheet'!$A$3:$A$990)),ROW(7:7))-2,3),"")</f>
        <v>0</v>
      </c>
      <c r="F14" s="1">
        <f t="array" ref="F14">IFERROR(INDEX('Award Data Sheet'!$A$3:$E$990,SMALL(IF('Award Data Sheet'!$A$3:$A$990=$E$3,ROW('Award Data Sheet'!$A$3:$A$990)),ROW(7:7))-2,4),"")</f>
        <v>0</v>
      </c>
      <c r="G14" s="12"/>
      <c r="H14" t="str">
        <f>IFERROR(IF(G14="","",VLOOKUP(G14,Points!$A$2:$B$6,2,FALSE)),"")</f>
        <v/>
      </c>
      <c r="I14" s="1" t="str">
        <f t="shared" si="2"/>
        <v/>
      </c>
      <c r="J14" t="str">
        <f t="shared" si="0"/>
        <v/>
      </c>
    </row>
    <row r="15" spans="2:11" hidden="1" x14ac:dyDescent="0.25">
      <c r="B15" s="1">
        <f t="array" ref="B15">IFERROR(INDEX('Award Data Sheet'!$A$3:$F$990,SMALL(IF('Award Data Sheet'!$A$3:$A$990=$E$3,ROW('Award Data Sheet'!$A$3:$A$990)),ROW(8:8))-2,6),"")</f>
        <v>0</v>
      </c>
      <c r="C15" s="1">
        <f t="array" ref="C15">IFERROR(INDEX('Award Data Sheet'!$A$3:$E$990,SMALL(IF('Award Data Sheet'!$A$3:$A$990=$E$3,ROW('Award Data Sheet'!$A$3:$A$990)),ROW(8:8))-2,5),"")</f>
        <v>0</v>
      </c>
      <c r="D15" s="1">
        <f t="array" ref="D15">IFERROR(INDEX('Award Data Sheet'!$A$3:$E$990,SMALL(IF('Award Data Sheet'!$A$3:$A$990=$E$3,ROW('Award Data Sheet'!$A$3:$A$990)),ROW(8:8))-2,2),"")</f>
        <v>0</v>
      </c>
      <c r="E15">
        <f t="array" ref="E15">IFERROR(INDEX('Award Data Sheet'!$A$3:$E$990,SMALL(IF('Award Data Sheet'!$A$3:$A$990=$E$3,ROW('Award Data Sheet'!$A$3:$A$990)),ROW(8:8))-2,3),"")</f>
        <v>0</v>
      </c>
      <c r="F15" s="1">
        <f t="array" ref="F15">IFERROR(INDEX('Award Data Sheet'!$A$3:$E$990,SMALL(IF('Award Data Sheet'!$A$3:$A$990=$E$3,ROW('Award Data Sheet'!$A$3:$A$990)),ROW(8:8))-2,4),"")</f>
        <v>0</v>
      </c>
      <c r="G15" s="12"/>
      <c r="H15" t="str">
        <f>IFERROR(IF(G15="","",VLOOKUP(G15,Points!$A$2:$B$6,2,FALSE)),"")</f>
        <v/>
      </c>
      <c r="I15" s="1" t="str">
        <f t="shared" si="2"/>
        <v/>
      </c>
      <c r="J15" t="str">
        <f t="shared" si="0"/>
        <v/>
      </c>
    </row>
    <row r="16" spans="2:11" hidden="1" x14ac:dyDescent="0.25">
      <c r="B16" s="1">
        <f t="array" ref="B16">IFERROR(INDEX('Award Data Sheet'!$A$3:$F$990,SMALL(IF('Award Data Sheet'!$A$3:$A$990=$E$3,ROW('Award Data Sheet'!$A$3:$A$990)),ROW(9:9))-2,6),"")</f>
        <v>0</v>
      </c>
      <c r="C16" s="1">
        <f t="array" ref="C16">IFERROR(INDEX('Award Data Sheet'!$A$3:$E$990,SMALL(IF('Award Data Sheet'!$A$3:$A$990=$E$3,ROW('Award Data Sheet'!$A$3:$A$990)),ROW(9:9))-2,5),"")</f>
        <v>0</v>
      </c>
      <c r="D16" s="1">
        <f t="array" ref="D16">IFERROR(INDEX('Award Data Sheet'!$A$3:$E$990,SMALL(IF('Award Data Sheet'!$A$3:$A$990=$E$3,ROW('Award Data Sheet'!$A$3:$A$990)),ROW(9:9))-2,2),"")</f>
        <v>0</v>
      </c>
      <c r="E16">
        <f t="array" ref="E16">IFERROR(INDEX('Award Data Sheet'!$A$3:$E$990,SMALL(IF('Award Data Sheet'!$A$3:$A$990=$E$3,ROW('Award Data Sheet'!$A$3:$A$990)),ROW(9:9))-2,3),"")</f>
        <v>0</v>
      </c>
      <c r="F16" s="1">
        <f t="array" ref="F16">IFERROR(INDEX('Award Data Sheet'!$A$3:$E$990,SMALL(IF('Award Data Sheet'!$A$3:$A$990=$E$3,ROW('Award Data Sheet'!$A$3:$A$990)),ROW(9:9))-2,4),"")</f>
        <v>0</v>
      </c>
      <c r="G16" s="12"/>
      <c r="H16" t="str">
        <f>IFERROR(IF(G16="","",VLOOKUP(G16,Points!$A$2:$B$6,2,FALSE)),"")</f>
        <v/>
      </c>
      <c r="I16" s="1" t="str">
        <f t="shared" si="2"/>
        <v/>
      </c>
      <c r="J16" t="str">
        <f t="shared" si="0"/>
        <v/>
      </c>
    </row>
    <row r="17" spans="2:11" hidden="1" x14ac:dyDescent="0.25">
      <c r="B17" s="1">
        <f t="array" ref="B17">IFERROR(INDEX('Award Data Sheet'!$A$3:$F$990,SMALL(IF('Award Data Sheet'!$A$3:$A$990=$E$3,ROW('Award Data Sheet'!$A$3:$A$990)),ROW(10:10))-2,6),"")</f>
        <v>0</v>
      </c>
      <c r="C17" s="1">
        <f t="array" ref="C17">IFERROR(INDEX('Award Data Sheet'!$A$3:$E$990,SMALL(IF('Award Data Sheet'!$A$3:$A$990=$E$3,ROW('Award Data Sheet'!$A$3:$A$990)),ROW(10:10))-2,5),"")</f>
        <v>0</v>
      </c>
      <c r="D17" s="1">
        <f t="array" ref="D17">IFERROR(INDEX('Award Data Sheet'!$A$3:$E$990,SMALL(IF('Award Data Sheet'!$A$3:$A$990=$E$3,ROW('Award Data Sheet'!$A$3:$A$990)),ROW(10:10))-2,2),"")</f>
        <v>0</v>
      </c>
      <c r="E17">
        <f t="array" ref="E17">IFERROR(INDEX('Award Data Sheet'!$A$3:$E$990,SMALL(IF('Award Data Sheet'!$A$3:$A$990=$E$3,ROW('Award Data Sheet'!$A$3:$A$990)),ROW(10:10))-2,3),"")</f>
        <v>0</v>
      </c>
      <c r="F17" s="1">
        <f t="array" ref="F17">IFERROR(INDEX('Award Data Sheet'!$A$3:$E$990,SMALL(IF('Award Data Sheet'!$A$3:$A$990=$E$3,ROW('Award Data Sheet'!$A$3:$A$990)),ROW(10:10))-2,4),"")</f>
        <v>0</v>
      </c>
      <c r="G17" s="12"/>
      <c r="H17" t="str">
        <f>IFERROR(IF(G17="","",VLOOKUP(G17,Points!$A$2:$B$6,2,FALSE)),"")</f>
        <v/>
      </c>
      <c r="I17" s="1" t="str">
        <f t="shared" si="2"/>
        <v/>
      </c>
      <c r="J17" t="str">
        <f t="shared" si="0"/>
        <v/>
      </c>
    </row>
    <row r="18" spans="2:11" x14ac:dyDescent="0.25">
      <c r="C18" s="1"/>
      <c r="D18" s="1"/>
      <c r="F18" s="10">
        <f>SUM(F8:F17)</f>
        <v>0</v>
      </c>
      <c r="G18" s="17"/>
      <c r="I18" s="1"/>
      <c r="J18">
        <f>SUM(J8:J17)</f>
        <v>0</v>
      </c>
      <c r="K18">
        <f>SUM(K8:K10)</f>
        <v>0</v>
      </c>
    </row>
    <row r="19" spans="2:11" ht="15.75" x14ac:dyDescent="0.25">
      <c r="B19" s="16" t="s">
        <v>580</v>
      </c>
      <c r="C19" s="1"/>
      <c r="D19" s="1"/>
      <c r="F19" s="1"/>
      <c r="G19" s="17"/>
      <c r="I19" s="1"/>
    </row>
    <row r="20" spans="2:11" x14ac:dyDescent="0.25">
      <c r="B20" t="s">
        <v>4</v>
      </c>
      <c r="C20" s="1">
        <f t="array" ref="C20">IFERROR(INDEX('Award Data Sheet'!$L$3:$L$990,MATCH(Award!E20&amp;$E$3,'Award Data Sheet'!$G$3:$G$990&amp;'Award Data Sheet'!$H$3:$H$990,0)),"")</f>
        <v>0</v>
      </c>
      <c r="D20" s="1">
        <f t="array" ref="D20">IFERROR(INDEX('Award Data Sheet'!$I$3:$I$990,MATCH(Award!E20&amp;$E$3,'Award Data Sheet'!$G$3:$G$990&amp;'Award Data Sheet'!$H$3:$H$990,0)),"")</f>
        <v>0</v>
      </c>
      <c r="E20" s="13"/>
      <c r="F20" s="1">
        <f t="array" ref="F20">IFERROR(INDEX('Award Data Sheet'!$K$3:$K$990,MATCH(Award!E20&amp;$E$3,'Award Data Sheet'!$G$3:$G$990&amp;'Award Data Sheet'!$H$3:$H$990,0)),"")</f>
        <v>0</v>
      </c>
      <c r="G20" s="12"/>
      <c r="H20" t="str">
        <f>IFERROR(IF(G20="","",VLOOKUP(G20,Points!$A$2:$B$6,2,FALSE)),"")</f>
        <v/>
      </c>
      <c r="I20" s="1" t="str">
        <f t="shared" ref="I20:I29" si="3">IFERROR(SUM(H20*(F20/10)),"")</f>
        <v/>
      </c>
    </row>
    <row r="21" spans="2:11" hidden="1" x14ac:dyDescent="0.25">
      <c r="B21" t="s">
        <v>4</v>
      </c>
      <c r="C21" s="1">
        <f t="array" ref="C21">IFERROR(INDEX('Award Data Sheet'!$L$3:$L$990,MATCH(Award!E21&amp;$E$3,'Award Data Sheet'!$G$3:$G$990&amp;'Award Data Sheet'!$H$3:$H$990,0)),"")</f>
        <v>0</v>
      </c>
      <c r="D21" s="1">
        <f t="array" ref="D21">IFERROR(INDEX('Award Data Sheet'!$I$3:$I$990,MATCH(Award!E21&amp;$E$3,'Award Data Sheet'!$G$3:$G$990&amp;'Award Data Sheet'!$H$3:$H$990,0)),"")</f>
        <v>0</v>
      </c>
      <c r="E21" s="13"/>
      <c r="F21" s="1">
        <f t="array" ref="F21">IFERROR(INDEX('Award Data Sheet'!$K$3:$K$990,MATCH(Award!E21&amp;$E$3,'Award Data Sheet'!$G$3:$G$990&amp;'Award Data Sheet'!$H$3:$H$990,0)),"")</f>
        <v>0</v>
      </c>
      <c r="G21" s="12"/>
      <c r="H21" t="str">
        <f>IFERROR(IF(G21="","",VLOOKUP(G21,Points!$A$2:$B$6,2,FALSE)),"")</f>
        <v/>
      </c>
      <c r="I21" s="1" t="str">
        <f t="shared" si="3"/>
        <v/>
      </c>
    </row>
    <row r="22" spans="2:11" hidden="1" x14ac:dyDescent="0.25">
      <c r="B22" t="s">
        <v>4</v>
      </c>
      <c r="C22" s="1">
        <f t="array" ref="C22">IFERROR(INDEX('Award Data Sheet'!$L$3:$L$990,MATCH(Award!E22&amp;$E$3,'Award Data Sheet'!$G$3:$G$990&amp;'Award Data Sheet'!$H$3:$H$990,0)),"")</f>
        <v>0</v>
      </c>
      <c r="D22" s="1">
        <f t="array" ref="D22">IFERROR(INDEX('Award Data Sheet'!$I$3:$I$990,MATCH(Award!E22&amp;$E$3,'Award Data Sheet'!$G$3:$G$990&amp;'Award Data Sheet'!$H$3:$H$990,0)),"")</f>
        <v>0</v>
      </c>
      <c r="E22" s="13"/>
      <c r="F22" s="1">
        <f t="array" ref="F22">IFERROR(INDEX('Award Data Sheet'!$K$3:$K$990,MATCH(Award!E22&amp;$E$3,'Award Data Sheet'!$G$3:$G$990&amp;'Award Data Sheet'!$H$3:$H$990,0)),"")</f>
        <v>0</v>
      </c>
      <c r="G22" s="12"/>
      <c r="H22" t="str">
        <f>IFERROR(IF(G22="","",VLOOKUP(G22,Points!$A$2:$B$6,2,FALSE)),"")</f>
        <v/>
      </c>
      <c r="I22" s="1" t="str">
        <f t="shared" si="3"/>
        <v/>
      </c>
    </row>
    <row r="23" spans="2:11" hidden="1" x14ac:dyDescent="0.25">
      <c r="B23" t="s">
        <v>4</v>
      </c>
      <c r="C23" s="1">
        <f t="array" ref="C23">IFERROR(INDEX('Award Data Sheet'!$L$3:$L$990,MATCH(Award!E23&amp;$E$3,'Award Data Sheet'!$G$3:$G$990&amp;'Award Data Sheet'!$H$3:$H$990,0)),"")</f>
        <v>0</v>
      </c>
      <c r="D23" s="1">
        <f t="array" ref="D23">IFERROR(INDEX('Award Data Sheet'!$I$3:$I$990,MATCH(Award!E23&amp;$E$3,'Award Data Sheet'!$G$3:$G$990&amp;'Award Data Sheet'!$H$3:$H$990,0)),"")</f>
        <v>0</v>
      </c>
      <c r="E23" s="13"/>
      <c r="F23" s="1">
        <f t="array" ref="F23">IFERROR(INDEX('Award Data Sheet'!$K$3:$K$990,MATCH(Award!E23&amp;$E$3,'Award Data Sheet'!$G$3:$G$990&amp;'Award Data Sheet'!$H$3:$H$990,0)),"")</f>
        <v>0</v>
      </c>
      <c r="G23" s="12"/>
      <c r="H23" t="str">
        <f>IFERROR(IF(G23="","",VLOOKUP(G23,Points!$A$2:$B$6,2,FALSE)),"")</f>
        <v/>
      </c>
      <c r="I23" s="1" t="str">
        <f t="shared" si="3"/>
        <v/>
      </c>
    </row>
    <row r="24" spans="2:11" hidden="1" x14ac:dyDescent="0.25">
      <c r="B24" t="s">
        <v>4</v>
      </c>
      <c r="C24" s="1">
        <f t="array" ref="C24">IFERROR(INDEX('Award Data Sheet'!$L$3:$L$990,MATCH(Award!E24&amp;$E$3,'Award Data Sheet'!$G$3:$G$990&amp;'Award Data Sheet'!$H$3:$H$990,0)),"")</f>
        <v>0</v>
      </c>
      <c r="D24" s="1">
        <f t="array" ref="D24">IFERROR(INDEX('Award Data Sheet'!$I$3:$I$990,MATCH(Award!E24&amp;$E$3,'Award Data Sheet'!$G$3:$G$990&amp;'Award Data Sheet'!$H$3:$H$990,0)),"")</f>
        <v>0</v>
      </c>
      <c r="E24" s="13"/>
      <c r="F24" s="1">
        <f t="array" ref="F24">IFERROR(INDEX('Award Data Sheet'!$K$3:$K$990,MATCH(Award!E24&amp;$E$3,'Award Data Sheet'!$G$3:$G$990&amp;'Award Data Sheet'!$H$3:$H$990,0)),"")</f>
        <v>0</v>
      </c>
      <c r="G24" s="12"/>
      <c r="H24" t="str">
        <f>IFERROR(IF(G24="","",VLOOKUP(G24,Points!$A$2:$B$6,2,FALSE)),"")</f>
        <v/>
      </c>
      <c r="I24" s="1" t="str">
        <f t="shared" si="3"/>
        <v/>
      </c>
    </row>
    <row r="25" spans="2:11" hidden="1" x14ac:dyDescent="0.25">
      <c r="B25" t="s">
        <v>4</v>
      </c>
      <c r="C25" s="1">
        <f t="array" ref="C25">IFERROR(INDEX('Award Data Sheet'!$L$3:$L$990,MATCH(Award!E25&amp;$E$3,'Award Data Sheet'!$G$3:$G$990&amp;'Award Data Sheet'!$H$3:$H$990,0)),"")</f>
        <v>0</v>
      </c>
      <c r="D25" s="1">
        <f t="array" ref="D25">IFERROR(INDEX('Award Data Sheet'!$I$3:$I$990,MATCH(Award!E25&amp;$E$3,'Award Data Sheet'!$G$3:$G$990&amp;'Award Data Sheet'!$H$3:$H$990,0)),"")</f>
        <v>0</v>
      </c>
      <c r="E25" s="13"/>
      <c r="F25" s="1">
        <f t="array" ref="F25">IFERROR(INDEX('Award Data Sheet'!$K$3:$K$990,MATCH(Award!E25&amp;$E$3,'Award Data Sheet'!$G$3:$G$990&amp;'Award Data Sheet'!$H$3:$H$990,0)),"")</f>
        <v>0</v>
      </c>
      <c r="G25" s="12"/>
      <c r="H25" t="str">
        <f>IFERROR(IF(G25="","",VLOOKUP(G25,Points!$A$2:$B$6,2,FALSE)),"")</f>
        <v/>
      </c>
      <c r="I25" s="1" t="str">
        <f t="shared" si="3"/>
        <v/>
      </c>
    </row>
    <row r="26" spans="2:11" hidden="1" x14ac:dyDescent="0.25">
      <c r="B26" t="s">
        <v>4</v>
      </c>
      <c r="C26" s="1">
        <f t="array" ref="C26">IFERROR(INDEX('Award Data Sheet'!$L$3:$L$990,MATCH(Award!E26&amp;$E$3,'Award Data Sheet'!$G$3:$G$990&amp;'Award Data Sheet'!$H$3:$H$990,0)),"")</f>
        <v>0</v>
      </c>
      <c r="D26" s="1">
        <f t="array" ref="D26">IFERROR(INDEX('Award Data Sheet'!$I$3:$I$990,MATCH(Award!E26&amp;$E$3,'Award Data Sheet'!$G$3:$G$990&amp;'Award Data Sheet'!$H$3:$H$990,0)),"")</f>
        <v>0</v>
      </c>
      <c r="E26" s="13"/>
      <c r="F26" s="1">
        <f t="array" ref="F26">IFERROR(INDEX('Award Data Sheet'!$K$3:$K$990,MATCH(Award!E26&amp;$E$3,'Award Data Sheet'!$G$3:$G$990&amp;'Award Data Sheet'!$H$3:$H$990,0)),"")</f>
        <v>0</v>
      </c>
      <c r="G26" s="12"/>
      <c r="H26" t="str">
        <f>IFERROR(IF(G26="","",VLOOKUP(G26,Points!$A$2:$B$6,2,FALSE)),"")</f>
        <v/>
      </c>
      <c r="I26" s="1" t="str">
        <f t="shared" si="3"/>
        <v/>
      </c>
    </row>
    <row r="27" spans="2:11" hidden="1" x14ac:dyDescent="0.25">
      <c r="B27" t="s">
        <v>4</v>
      </c>
      <c r="C27" s="1">
        <f t="array" ref="C27">IFERROR(INDEX('Award Data Sheet'!$L$3:$L$990,MATCH(Award!E27&amp;$E$3,'Award Data Sheet'!$G$3:$G$990&amp;'Award Data Sheet'!$H$3:$H$990,0)),"")</f>
        <v>0</v>
      </c>
      <c r="D27" s="1">
        <f t="array" ref="D27">IFERROR(INDEX('Award Data Sheet'!$I$3:$I$990,MATCH(Award!E27&amp;$E$3,'Award Data Sheet'!$G$3:$G$990&amp;'Award Data Sheet'!$H$3:$H$990,0)),"")</f>
        <v>0</v>
      </c>
      <c r="E27" s="13"/>
      <c r="F27" s="1">
        <f t="array" ref="F27">IFERROR(INDEX('Award Data Sheet'!$K$3:$K$990,MATCH(Award!E27&amp;$E$3,'Award Data Sheet'!$G$3:$G$990&amp;'Award Data Sheet'!$H$3:$H$990,0)),"")</f>
        <v>0</v>
      </c>
      <c r="G27" s="12"/>
      <c r="H27" t="str">
        <f>IFERROR(IF(G27="","",VLOOKUP(G27,Points!$A$2:$B$6,2,FALSE)),"")</f>
        <v/>
      </c>
      <c r="I27" s="1" t="str">
        <f t="shared" si="3"/>
        <v/>
      </c>
    </row>
    <row r="28" spans="2:11" hidden="1" x14ac:dyDescent="0.25">
      <c r="B28" t="s">
        <v>4</v>
      </c>
      <c r="C28" s="1">
        <f t="array" ref="C28">IFERROR(INDEX('Award Data Sheet'!$L$3:$L$990,MATCH(Award!E28&amp;$E$3,'Award Data Sheet'!$G$3:$G$990&amp;'Award Data Sheet'!$H$3:$H$990,0)),"")</f>
        <v>0</v>
      </c>
      <c r="D28" s="1">
        <f t="array" ref="D28">IFERROR(INDEX('Award Data Sheet'!$I$3:$I$990,MATCH(Award!E28&amp;$E$3,'Award Data Sheet'!$G$3:$G$990&amp;'Award Data Sheet'!$H$3:$H$990,0)),"")</f>
        <v>0</v>
      </c>
      <c r="E28" s="13"/>
      <c r="F28" s="1">
        <f t="array" ref="F28">IFERROR(INDEX('Award Data Sheet'!$K$3:$K$990,MATCH(Award!E28&amp;$E$3,'Award Data Sheet'!$G$3:$G$990&amp;'Award Data Sheet'!$H$3:$H$990,0)),"")</f>
        <v>0</v>
      </c>
      <c r="G28" s="15"/>
      <c r="H28" t="str">
        <f>IFERROR(IF(G28="","",VLOOKUP(G28,Points!$A$2:$B$6,2,FALSE)),"")</f>
        <v/>
      </c>
      <c r="I28" s="1" t="str">
        <f t="shared" si="3"/>
        <v/>
      </c>
    </row>
    <row r="29" spans="2:11" hidden="1" x14ac:dyDescent="0.25">
      <c r="B29" t="s">
        <v>4</v>
      </c>
      <c r="C29" s="1">
        <f t="array" ref="C29">IFERROR(INDEX('Award Data Sheet'!$L$3:$L$990,MATCH(Award!E29&amp;$E$3,'Award Data Sheet'!$G$3:$G$990&amp;'Award Data Sheet'!$H$3:$H$990,0)),"")</f>
        <v>0</v>
      </c>
      <c r="D29" s="1">
        <f t="array" ref="D29">IFERROR(INDEX('Award Data Sheet'!$I$3:$I$990,MATCH(Award!E29&amp;$E$3,'Award Data Sheet'!$G$3:$G$990&amp;'Award Data Sheet'!$H$3:$H$990,0)),"")</f>
        <v>0</v>
      </c>
      <c r="E29" s="13"/>
      <c r="F29" s="1">
        <f t="array" ref="F29">IFERROR(INDEX('Award Data Sheet'!$K$3:$K$990,MATCH(Award!E29&amp;$E$3,'Award Data Sheet'!$G$3:$G$990&amp;'Award Data Sheet'!$H$3:$H$990,0)),"")</f>
        <v>0</v>
      </c>
      <c r="G29" s="15"/>
      <c r="H29" t="str">
        <f>IFERROR(IF(G29="","",VLOOKUP(G29,Points!$A$2:$B$6,2,FALSE)),"")</f>
        <v/>
      </c>
      <c r="I29" s="1" t="str">
        <f t="shared" si="3"/>
        <v/>
      </c>
    </row>
    <row r="30" spans="2:11" hidden="1" x14ac:dyDescent="0.25">
      <c r="E30" s="14"/>
      <c r="F30" s="1">
        <f>SUM(F20:F29)</f>
        <v>0</v>
      </c>
      <c r="G30" s="14"/>
      <c r="I30" s="1"/>
    </row>
    <row r="31" spans="2:11" ht="15.75" hidden="1" x14ac:dyDescent="0.25">
      <c r="B31" s="16" t="s">
        <v>528</v>
      </c>
      <c r="E31" s="14"/>
      <c r="F31" s="1"/>
      <c r="G31" s="14"/>
      <c r="I31" s="1"/>
    </row>
    <row r="32" spans="2:11" hidden="1" x14ac:dyDescent="0.25">
      <c r="B32" t="s">
        <v>4</v>
      </c>
      <c r="C32" s="1">
        <f t="array" ref="C32">IFERROR(INDEX('Award Data Sheet'!$S$3:$S$990,MATCH(Award!E32&amp;$E$3,'Award Data Sheet'!$N$3:$N$990&amp;'Award Data Sheet'!$O$3:$O$990,0)),"")</f>
        <v>0</v>
      </c>
      <c r="D32" s="1">
        <f t="array" ref="D32">IFERROR(INDEX('Award Data Sheet'!$P$3:$P$990,MATCH(Award!E32&amp;$E$3,'Award Data Sheet'!$N$3:$N$990&amp;'Award Data Sheet'!$O$3:$O$990,0)),"")</f>
        <v>0</v>
      </c>
      <c r="E32" s="13"/>
      <c r="F32" s="1">
        <f t="array" ref="F32">IFERROR(INDEX('Award Data Sheet'!$R$3:$R$990,MATCH(Award!E32&amp;$E$3,'Award Data Sheet'!$N$3:$N$990&amp;'Award Data Sheet'!$O$3:$O$990,0)),"")</f>
        <v>0</v>
      </c>
      <c r="G32" s="12"/>
      <c r="H32" t="str">
        <f>IFERROR(IF(G32="","",VLOOKUP(G32,Points!$A$2:$B$6,2,FALSE)),"")</f>
        <v/>
      </c>
      <c r="I32" s="1" t="str">
        <f t="shared" ref="I32:I41" si="4">IFERROR(SUM(H32*(F32/10)),"")</f>
        <v/>
      </c>
    </row>
    <row r="33" spans="2:10" hidden="1" x14ac:dyDescent="0.25">
      <c r="B33" t="s">
        <v>4</v>
      </c>
      <c r="C33" s="1">
        <f t="array" ref="C33">IFERROR(INDEX('Award Data Sheet'!$S$3:$S$990,MATCH(Award!E33&amp;$E$3,'Award Data Sheet'!$N$3:$N$990&amp;'Award Data Sheet'!$O$3:$O$990,0)),"")</f>
        <v>0</v>
      </c>
      <c r="D33" s="1">
        <f t="array" ref="D33">IFERROR(INDEX('Award Data Sheet'!$P$3:$P$990,MATCH(Award!E33&amp;$E$3,'Award Data Sheet'!$N$3:$N$990&amp;'Award Data Sheet'!$O$3:$O$990,0)),"")</f>
        <v>0</v>
      </c>
      <c r="E33" s="13"/>
      <c r="F33" s="1">
        <f t="array" ref="F33">IFERROR(INDEX('Award Data Sheet'!$R$3:$R$990,MATCH(Award!E33&amp;$E$3,'Award Data Sheet'!$N$3:$N$990&amp;'Award Data Sheet'!$O$3:$O$990,0)),"")</f>
        <v>0</v>
      </c>
      <c r="G33" s="12"/>
      <c r="H33" t="str">
        <f>IFERROR(IF(G33="","",VLOOKUP(G33,Points!$A$2:$B$6,2,FALSE)),"")</f>
        <v/>
      </c>
      <c r="I33" s="1" t="str">
        <f t="shared" si="4"/>
        <v/>
      </c>
    </row>
    <row r="34" spans="2:10" hidden="1" x14ac:dyDescent="0.25">
      <c r="B34" t="s">
        <v>4</v>
      </c>
      <c r="C34" s="1">
        <f t="array" ref="C34">IFERROR(INDEX('Award Data Sheet'!$S$3:$S$990,MATCH(Award!E34&amp;$E$3,'Award Data Sheet'!$N$3:$N$990&amp;'Award Data Sheet'!$O$3:$O$990,0)),"")</f>
        <v>0</v>
      </c>
      <c r="D34" s="1">
        <f t="array" ref="D34">IFERROR(INDEX('Award Data Sheet'!$P$3:$P$990,MATCH(Award!E34&amp;$E$3,'Award Data Sheet'!$N$3:$N$990&amp;'Award Data Sheet'!$O$3:$O$990,0)),"")</f>
        <v>0</v>
      </c>
      <c r="E34" s="13"/>
      <c r="F34" s="1">
        <f t="array" ref="F34">IFERROR(INDEX('Award Data Sheet'!$R$3:$R$990,MATCH(Award!E34&amp;$E$3,'Award Data Sheet'!$N$3:$N$990&amp;'Award Data Sheet'!$O$3:$O$990,0)),"")</f>
        <v>0</v>
      </c>
      <c r="G34" s="12"/>
      <c r="H34" t="str">
        <f>IFERROR(IF(G34="","",VLOOKUP(G34,Points!$A$2:$B$6,2,FALSE)),"")</f>
        <v/>
      </c>
      <c r="I34" s="1" t="str">
        <f t="shared" si="4"/>
        <v/>
      </c>
    </row>
    <row r="35" spans="2:10" hidden="1" x14ac:dyDescent="0.25">
      <c r="B35" t="s">
        <v>4</v>
      </c>
      <c r="C35" s="1">
        <f t="array" ref="C35">IFERROR(INDEX('Award Data Sheet'!$S$3:$S$990,MATCH(Award!E35&amp;$E$3,'Award Data Sheet'!$N$3:$N$990&amp;'Award Data Sheet'!$O$3:$O$990,0)),"")</f>
        <v>0</v>
      </c>
      <c r="D35" s="1">
        <f t="array" ref="D35">IFERROR(INDEX('Award Data Sheet'!$P$3:$P$990,MATCH(Award!E35&amp;$E$3,'Award Data Sheet'!$N$3:$N$990&amp;'Award Data Sheet'!$O$3:$O$990,0)),"")</f>
        <v>0</v>
      </c>
      <c r="E35" s="13"/>
      <c r="F35" s="1">
        <f t="array" ref="F35">IFERROR(INDEX('Award Data Sheet'!$R$3:$R$990,MATCH(Award!E35&amp;$E$3,'Award Data Sheet'!$N$3:$N$990&amp;'Award Data Sheet'!$O$3:$O$990,0)),"")</f>
        <v>0</v>
      </c>
      <c r="G35" s="12"/>
      <c r="H35" t="str">
        <f>IFERROR(IF(G35="","",VLOOKUP(G35,Points!$A$2:$B$6,2,FALSE)),"")</f>
        <v/>
      </c>
      <c r="I35" s="1" t="str">
        <f t="shared" si="4"/>
        <v/>
      </c>
    </row>
    <row r="36" spans="2:10" hidden="1" x14ac:dyDescent="0.25">
      <c r="B36" t="s">
        <v>4</v>
      </c>
      <c r="C36" s="1">
        <f t="array" ref="C36">IFERROR(INDEX('Award Data Sheet'!$S$3:$S$990,MATCH(Award!E36&amp;$E$3,'Award Data Sheet'!$N$3:$N$990&amp;'Award Data Sheet'!$O$3:$O$990,0)),"")</f>
        <v>0</v>
      </c>
      <c r="D36" s="1">
        <f t="array" ref="D36">IFERROR(INDEX('Award Data Sheet'!$P$3:$P$990,MATCH(Award!E36&amp;$E$3,'Award Data Sheet'!$N$3:$N$990&amp;'Award Data Sheet'!$O$3:$O$990,0)),"")</f>
        <v>0</v>
      </c>
      <c r="E36" s="13"/>
      <c r="F36" s="1">
        <f t="array" ref="F36">IFERROR(INDEX('Award Data Sheet'!$R$3:$R$990,MATCH(Award!E36&amp;$E$3,'Award Data Sheet'!$N$3:$N$990&amp;'Award Data Sheet'!$O$3:$O$990,0)),"")</f>
        <v>0</v>
      </c>
      <c r="G36" s="12"/>
      <c r="H36" t="str">
        <f>IFERROR(IF(G36="","",VLOOKUP(G36,Points!$A$2:$B$6,2,FALSE)),"")</f>
        <v/>
      </c>
      <c r="I36" s="1" t="str">
        <f t="shared" si="4"/>
        <v/>
      </c>
    </row>
    <row r="37" spans="2:10" hidden="1" x14ac:dyDescent="0.25">
      <c r="B37" t="s">
        <v>4</v>
      </c>
      <c r="C37" s="1">
        <f t="array" ref="C37">IFERROR(INDEX('Award Data Sheet'!$S$3:$S$990,MATCH(Award!E37&amp;$E$3,'Award Data Sheet'!$N$3:$N$990&amp;'Award Data Sheet'!$O$3:$O$990,0)),"")</f>
        <v>0</v>
      </c>
      <c r="D37" s="1">
        <f t="array" ref="D37">IFERROR(INDEX('Award Data Sheet'!$P$3:$P$990,MATCH(Award!E37&amp;$E$3,'Award Data Sheet'!$N$3:$N$990&amp;'Award Data Sheet'!$O$3:$O$990,0)),"")</f>
        <v>0</v>
      </c>
      <c r="E37" s="13"/>
      <c r="F37" s="1">
        <f t="array" ref="F37">IFERROR(INDEX('Award Data Sheet'!$R$3:$R$990,MATCH(Award!E37&amp;$E$3,'Award Data Sheet'!$N$3:$N$990&amp;'Award Data Sheet'!$O$3:$O$990,0)),"")</f>
        <v>0</v>
      </c>
      <c r="G37" s="12"/>
      <c r="H37" t="str">
        <f>IFERROR(IF(G37="","",VLOOKUP(G37,Points!$A$2:$B$6,2,FALSE)),"")</f>
        <v/>
      </c>
      <c r="I37" s="1" t="str">
        <f t="shared" si="4"/>
        <v/>
      </c>
    </row>
    <row r="38" spans="2:10" hidden="1" x14ac:dyDescent="0.25">
      <c r="B38" t="s">
        <v>4</v>
      </c>
      <c r="C38" s="1">
        <f t="array" ref="C38">IFERROR(INDEX('Award Data Sheet'!$S$3:$S$990,MATCH(Award!E38&amp;$E$3,'Award Data Sheet'!$N$3:$N$990&amp;'Award Data Sheet'!$O$3:$O$990,0)),"")</f>
        <v>0</v>
      </c>
      <c r="D38" s="1">
        <f t="array" ref="D38">IFERROR(INDEX('Award Data Sheet'!$P$3:$P$990,MATCH(Award!E38&amp;$E$3,'Award Data Sheet'!$N$3:$N$990&amp;'Award Data Sheet'!$O$3:$O$990,0)),"")</f>
        <v>0</v>
      </c>
      <c r="E38" s="13"/>
      <c r="F38" s="1">
        <f t="array" ref="F38">IFERROR(INDEX('Award Data Sheet'!$R$3:$R$990,MATCH(Award!E38&amp;$E$3,'Award Data Sheet'!$N$3:$N$990&amp;'Award Data Sheet'!$O$3:$O$990,0)),"")</f>
        <v>0</v>
      </c>
      <c r="G38" s="12"/>
      <c r="H38" t="str">
        <f>IFERROR(IF(G38="","",VLOOKUP(G38,Points!$A$2:$B$6,2,FALSE)),"")</f>
        <v/>
      </c>
      <c r="I38" s="1" t="str">
        <f t="shared" si="4"/>
        <v/>
      </c>
    </row>
    <row r="39" spans="2:10" hidden="1" x14ac:dyDescent="0.25">
      <c r="B39" t="s">
        <v>4</v>
      </c>
      <c r="C39" s="1">
        <f t="array" ref="C39">IFERROR(INDEX('Award Data Sheet'!$S$3:$S$990,MATCH(Award!E39&amp;$E$3,'Award Data Sheet'!$N$3:$N$990&amp;'Award Data Sheet'!$O$3:$O$990,0)),"")</f>
        <v>0</v>
      </c>
      <c r="D39" s="1">
        <f t="array" ref="D39">IFERROR(INDEX('Award Data Sheet'!$P$3:$P$990,MATCH(Award!E39&amp;$E$3,'Award Data Sheet'!$N$3:$N$990&amp;'Award Data Sheet'!$O$3:$O$990,0)),"")</f>
        <v>0</v>
      </c>
      <c r="E39" s="13"/>
      <c r="F39" s="1">
        <f t="array" ref="F39">IFERROR(INDEX('Award Data Sheet'!$R$3:$R$990,MATCH(Award!E39&amp;$E$3,'Award Data Sheet'!$N$3:$N$990&amp;'Award Data Sheet'!$O$3:$O$990,0)),"")</f>
        <v>0</v>
      </c>
      <c r="G39" s="12"/>
      <c r="H39" t="str">
        <f>IFERROR(IF(G39="","",VLOOKUP(G39,Points!$A$2:$B$6,2,FALSE)),"")</f>
        <v/>
      </c>
      <c r="I39" s="1" t="str">
        <f t="shared" si="4"/>
        <v/>
      </c>
    </row>
    <row r="40" spans="2:10" hidden="1" x14ac:dyDescent="0.25">
      <c r="B40" t="s">
        <v>4</v>
      </c>
      <c r="C40" s="1">
        <f t="array" ref="C40">IFERROR(INDEX('Award Data Sheet'!$S$3:$S$990,MATCH(Award!E40&amp;$E$3,'Award Data Sheet'!$N$3:$N$990&amp;'Award Data Sheet'!$O$3:$O$990,0)),"")</f>
        <v>0</v>
      </c>
      <c r="D40" s="1">
        <f t="array" ref="D40">IFERROR(INDEX('Award Data Sheet'!$P$3:$P$990,MATCH(Award!E40&amp;$E$3,'Award Data Sheet'!$N$3:$N$990&amp;'Award Data Sheet'!$O$3:$O$990,0)),"")</f>
        <v>0</v>
      </c>
      <c r="E40" s="13"/>
      <c r="F40" s="1">
        <f t="array" ref="F40">IFERROR(INDEX('Award Data Sheet'!$R$3:$R$990,MATCH(Award!E40&amp;$E$3,'Award Data Sheet'!$N$3:$N$990&amp;'Award Data Sheet'!$O$3:$O$990,0)),"")</f>
        <v>0</v>
      </c>
      <c r="G40" s="12"/>
      <c r="H40" t="str">
        <f>IFERROR(IF(G40="","",VLOOKUP(G40,Points!$A$2:$B$6,2,FALSE)),"")</f>
        <v/>
      </c>
      <c r="I40" s="1" t="str">
        <f t="shared" si="4"/>
        <v/>
      </c>
    </row>
    <row r="41" spans="2:10" hidden="1" x14ac:dyDescent="0.25">
      <c r="B41" t="s">
        <v>4</v>
      </c>
      <c r="C41" s="1">
        <f t="array" ref="C41">IFERROR(INDEX('Award Data Sheet'!$S$3:$S$990,MATCH(Award!E41&amp;$E$3,'Award Data Sheet'!$N$3:$N$990&amp;'Award Data Sheet'!$O$3:$O$990,0)),"")</f>
        <v>0</v>
      </c>
      <c r="D41" s="1">
        <f t="array" ref="D41">IFERROR(INDEX('Award Data Sheet'!$P$3:$P$990,MATCH(Award!E41&amp;$E$3,'Award Data Sheet'!$N$3:$N$990&amp;'Award Data Sheet'!$O$3:$O$990,0)),"")</f>
        <v>0</v>
      </c>
      <c r="E41" s="13"/>
      <c r="F41" s="1">
        <f t="array" ref="F41">IFERROR(INDEX('Award Data Sheet'!$R$3:$R$990,MATCH(Award!E41&amp;$E$3,'Award Data Sheet'!$N$3:$N$990&amp;'Award Data Sheet'!$O$3:$O$990,0)),"")</f>
        <v>0</v>
      </c>
      <c r="G41" s="12"/>
      <c r="H41" t="str">
        <f>IFERROR(IF(G41="","",VLOOKUP(G41,Points!$A$2:$B$6,2,FALSE)),"")</f>
        <v/>
      </c>
      <c r="I41" s="1" t="str">
        <f t="shared" si="4"/>
        <v/>
      </c>
    </row>
    <row r="42" spans="2:10" hidden="1" x14ac:dyDescent="0.25">
      <c r="F42" s="1">
        <f>SUM(F32:F41)</f>
        <v>0</v>
      </c>
    </row>
    <row r="43" spans="2:10" ht="18.75" x14ac:dyDescent="0.25">
      <c r="F43" s="1">
        <f>SUM(F18+F30+F42)</f>
        <v>0</v>
      </c>
      <c r="G43" s="4" t="s">
        <v>105</v>
      </c>
      <c r="H43" s="5"/>
      <c r="I43" s="4" t="str">
        <f>IF($E$3="Application of Science",VLOOKUP(Award!I44,Points!$E$2:$F$7,2,TRUE),IF(Award!$E$3="Principles of Applied Science",VLOOKUP(Award!I44,Points!$E$2:$F$7,2,TRUE),IF($E$3="CPLD",$J$49,IF(OR(Award!$E$3="Business 2018",$E$3="Construction and the Built Environment 2018",$E$3="Travel and Tourism 2018",Award!$E$3="Sport 2018"),Award!J48,Award!J47))))</f>
        <v>U</v>
      </c>
    </row>
    <row r="44" spans="2:10" ht="15.75" x14ac:dyDescent="0.25">
      <c r="G44" s="6" t="s">
        <v>2</v>
      </c>
      <c r="H44" s="7"/>
      <c r="I44" s="6">
        <f>SUM(I8:I41)</f>
        <v>0</v>
      </c>
    </row>
    <row r="47" spans="2:10" x14ac:dyDescent="0.25">
      <c r="I47" s="22" t="str">
        <f>IF(AND(J18&gt;11,J18&lt;24),"Level 1",IF(J18&gt;=24,"Level 2",IF(J18&lt;12,"U","")))</f>
        <v>U</v>
      </c>
      <c r="J47" t="str">
        <f>IF(I47="Level 2",VLOOKUP(I44,Points!$E$2:$F$7,2,TRUE),IF(Award!I47="Level 1",VLOOKUP(I44,Points!$E$2:$F$3,2,TRUE),IF(Award!I47="U","U","")))</f>
        <v>U</v>
      </c>
    </row>
    <row r="48" spans="2:10" x14ac:dyDescent="0.25">
      <c r="I48" s="22" t="str">
        <f>IF(AND(OR(E3="Business 2018",E3="Construction and the Built Environment 2018",E3="Sport 2018",E3="Travel and Tourism 2018"),K18&lt;24,K18&gt;11),"Level 1",IF(AND(OR(E3="Business 2018",E3="Construction and the Built Environment 2018",E3="Sport 2018",E3="Travel and Tourism 2018"),K18&lt;12),"U","Level 2"))</f>
        <v>Level 2</v>
      </c>
      <c r="J48" t="str">
        <f>IF(I48="Level 2",VLOOKUP(I44,Points!$E$2:$F$7,2,TRUE),IF(AND(Award!I48="Level 1",I44&lt;24),"U",IF(AND(Award!I48="Level 1",I44&gt;23),"Level 1 Pass",IF(Award!I48="U","U",""))))</f>
        <v>U</v>
      </c>
    </row>
    <row r="49" spans="10:10" x14ac:dyDescent="0.25">
      <c r="J49" t="str">
        <f>IF(AND(E3="CPLD",I8=0),"U",VLOOKUP(I44,Points!E2:F7,2,TRUE))</f>
        <v>U</v>
      </c>
    </row>
  </sheetData>
  <sheetProtection password="85BF" sheet="1" objects="1" scenarios="1" formatCells="0" formatColumns="0" formatRows="0" selectLockedCells="1"/>
  <dataValidations count="4">
    <dataValidation type="list" allowBlank="1" showInputMessage="1" showErrorMessage="1" sqref="E32:E41">
      <formula1>OFFSET(INDIRECT(SUBSTITUTE($E$3," ","_")&amp;"_A"&amp;"_units"&amp;"_Group_B"),0,0,COUNT(INDIRECT(SUBSTITUTE($E$3," ","_")&amp;"_A"&amp;"_col"&amp;"_Group_B")),1)</formula1>
    </dataValidation>
    <dataValidation type="list" allowBlank="1" showInputMessage="1" showErrorMessage="1" sqref="G8:G17 G20:G29 G32:G41">
      <formula1>UnitGrade</formula1>
    </dataValidation>
    <dataValidation type="list" allowBlank="1" showInputMessage="1" showErrorMessage="1" sqref="E3">
      <formula1>AwardSector</formula1>
    </dataValidation>
    <dataValidation type="list" allowBlank="1" showInputMessage="1" showErrorMessage="1" sqref="E20:E29">
      <formula1>OFFSET(INDIRECT(SUBSTITUTE($E$3," ","_")&amp;"_A"&amp;"_units"&amp;"_Group_A"),0,0,COUNT(INDIRECT(SUBSTITUTE($E$3," ","_")&amp;"_A"&amp;"_col"&amp;"_Group_A")),1)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I44"/>
  <sheetViews>
    <sheetView showGridLines="0" workbookViewId="0">
      <selection activeCell="E3" sqref="E3"/>
    </sheetView>
  </sheetViews>
  <sheetFormatPr defaultRowHeight="15" x14ac:dyDescent="0.25"/>
  <cols>
    <col min="1" max="2" width="10.5703125" bestFit="1" customWidth="1"/>
    <col min="3" max="3" width="17.7109375" bestFit="1" customWidth="1"/>
    <col min="4" max="4" width="13.85546875" bestFit="1" customWidth="1"/>
    <col min="5" max="5" width="83.5703125" bestFit="1" customWidth="1"/>
    <col min="7" max="7" width="17.140625" bestFit="1" customWidth="1"/>
    <col min="8" max="8" width="6.28515625" customWidth="1"/>
    <col min="9" max="9" width="10.42578125" customWidth="1"/>
  </cols>
  <sheetData>
    <row r="1" spans="2:9" ht="84.75" customHeight="1" x14ac:dyDescent="0.25"/>
    <row r="3" spans="2:9" ht="18.75" x14ac:dyDescent="0.25">
      <c r="E3" s="11"/>
    </row>
    <row r="7" spans="2:9" ht="15.75" x14ac:dyDescent="0.25">
      <c r="C7" s="2" t="s">
        <v>5</v>
      </c>
      <c r="D7" s="2" t="s">
        <v>6</v>
      </c>
      <c r="E7" s="2" t="s">
        <v>7</v>
      </c>
      <c r="F7" s="2" t="s">
        <v>0</v>
      </c>
      <c r="G7" s="2" t="s">
        <v>1</v>
      </c>
      <c r="H7" s="2"/>
      <c r="I7" s="2" t="s">
        <v>2</v>
      </c>
    </row>
    <row r="8" spans="2:9" hidden="1" x14ac:dyDescent="0.25">
      <c r="B8" t="s">
        <v>3</v>
      </c>
      <c r="C8" s="1">
        <f t="array" ref="C8">IFERROR(INDEX('Cert Data Sheet'!$A$3:$E$990,SMALL(IF('Cert Data Sheet'!$A$3:$A$990=$E$3,ROW('Cert Data Sheet'!$A$3:$A$990)),ROW(1:1))-2,5),"")</f>
        <v>0</v>
      </c>
      <c r="D8" s="1">
        <f t="array" ref="D8">IFERROR(INDEX('Cert Data Sheet'!$A$3:$E$990,SMALL(IF('Cert Data Sheet'!$A$3:$A$990=$E$3,ROW('Cert Data Sheet'!$A$3:$A$990)),ROW(1:1))-2,2),"")</f>
        <v>0</v>
      </c>
      <c r="E8">
        <f t="array" ref="E8">IFERROR(INDEX('Cert Data Sheet'!$A$3:$E$990,SMALL(IF('Cert Data Sheet'!$A$3:$A$990=$E$3,ROW('Cert Data Sheet'!$A$3:$A$990)),ROW(1:1))-2,3),"")</f>
        <v>0</v>
      </c>
      <c r="F8" s="1">
        <f t="array" ref="F8">IFERROR(INDEX('Cert Data Sheet'!$A$3:$E$990,SMALL(IF('Cert Data Sheet'!$A$3:$A$990=$E$3,ROW('Cert Data Sheet'!$A$3:$A$990)),ROW(1:1))-2,4),"")</f>
        <v>0</v>
      </c>
      <c r="G8" s="12"/>
      <c r="H8" t="str">
        <f>IFERROR(IF(G8="","",VLOOKUP(G8,Points!$A$2:$B$6,2,FALSE)),"")</f>
        <v/>
      </c>
      <c r="I8" s="1" t="str">
        <f>IFERROR(SUM(H8*(F8/10)),"")</f>
        <v/>
      </c>
    </row>
    <row r="9" spans="2:9" hidden="1" x14ac:dyDescent="0.25">
      <c r="B9" t="s">
        <v>3</v>
      </c>
      <c r="C9" s="1">
        <f t="array" ref="C9">IFERROR(INDEX('Cert Data Sheet'!$A$3:$E$990,SMALL(IF('Cert Data Sheet'!$A$3:$A$990=$E$3,ROW('Cert Data Sheet'!$A$3:$A$990)),ROW(2:2))-2,5),"")</f>
        <v>0</v>
      </c>
      <c r="D9" s="1">
        <f t="array" ref="D9">IFERROR(INDEX('Cert Data Sheet'!$A$3:$E$990,SMALL(IF('Cert Data Sheet'!$A$3:$A$990=$E$3,ROW('Cert Data Sheet'!$A$3:$A$990)),ROW(2:2))-2,2),"")</f>
        <v>0</v>
      </c>
      <c r="E9">
        <f t="array" ref="E9">IFERROR(INDEX('Cert Data Sheet'!$A$3:$E$990,SMALL(IF('Cert Data Sheet'!$A$3:$A$990=$E$3,ROW('Cert Data Sheet'!$A$3:$A$990)),ROW(2:2))-2,3),"")</f>
        <v>0</v>
      </c>
      <c r="F9" s="1">
        <f t="array" ref="F9">IFERROR(INDEX('Cert Data Sheet'!$A$3:$E$990,SMALL(IF('Cert Data Sheet'!$A$3:$A$990=$E$3,ROW('Cert Data Sheet'!$A$3:$A$990)),ROW(2:2))-2,4),"")</f>
        <v>0</v>
      </c>
      <c r="G9" s="12"/>
      <c r="H9" t="str">
        <f>IFERROR(IF(G9="","",VLOOKUP(G9,Points!$A$2:$B$6,2,FALSE)),"")</f>
        <v/>
      </c>
      <c r="I9" s="1" t="str">
        <f>IFERROR(SUM(H9*(F9/10)),"")</f>
        <v/>
      </c>
    </row>
    <row r="10" spans="2:9" hidden="1" x14ac:dyDescent="0.25">
      <c r="B10" t="s">
        <v>3</v>
      </c>
      <c r="C10" s="1">
        <f t="array" ref="C10">IFERROR(INDEX('Cert Data Sheet'!$A$3:$E$990,SMALL(IF('Cert Data Sheet'!$A$3:$A$990=$E$3,ROW('Cert Data Sheet'!$A$3:$A$990)),ROW(3:3))-2,5),"")</f>
        <v>0</v>
      </c>
      <c r="D10" s="1">
        <f t="array" ref="D10">IFERROR(INDEX('Cert Data Sheet'!$A$3:$E$990,SMALL(IF('Cert Data Sheet'!$A$3:$A$990=$E$3,ROW('Cert Data Sheet'!$A$3:$A$990)),ROW(3:3))-2,2),"")</f>
        <v>0</v>
      </c>
      <c r="E10">
        <f t="array" ref="E10">IFERROR(INDEX('Cert Data Sheet'!$A$3:$E$990,SMALL(IF('Cert Data Sheet'!$A$3:$A$990=$E$3,ROW('Cert Data Sheet'!$A$3:$A$990)),ROW(3:3))-2,3),"")</f>
        <v>0</v>
      </c>
      <c r="F10" s="1">
        <f t="array" ref="F10">IFERROR(INDEX('Cert Data Sheet'!$A$3:$E$990,SMALL(IF('Cert Data Sheet'!$A$3:$A$990=$E$3,ROW('Cert Data Sheet'!$A$3:$A$990)),ROW(3:3))-2,4),"")</f>
        <v>0</v>
      </c>
      <c r="G10" s="12"/>
      <c r="H10" t="str">
        <f>IFERROR(IF(G10="","",VLOOKUP(G10,Points!$A$2:$B$6,2,FALSE)),"")</f>
        <v/>
      </c>
      <c r="I10" s="1" t="str">
        <f t="shared" ref="I10:I17" si="0">IFERROR(SUM(H10*(F10/10)),"")</f>
        <v/>
      </c>
    </row>
    <row r="11" spans="2:9" hidden="1" x14ac:dyDescent="0.25">
      <c r="B11" t="s">
        <v>3</v>
      </c>
      <c r="C11" s="1">
        <f t="array" ref="C11">IFERROR(INDEX('Cert Data Sheet'!$A$3:$E$990,SMALL(IF('Cert Data Sheet'!$A$3:$A$990=$E$3,ROW('Cert Data Sheet'!$A$3:$A$990)),ROW(4:4))-2,5),"")</f>
        <v>0</v>
      </c>
      <c r="D11" s="1">
        <f t="array" ref="D11">IFERROR(INDEX('Cert Data Sheet'!$A$3:$E$990,SMALL(IF('Cert Data Sheet'!$A$3:$A$990=$E$3,ROW('Cert Data Sheet'!$A$3:$A$990)),ROW(4:4))-2,2),"")</f>
        <v>0</v>
      </c>
      <c r="E11">
        <f t="array" ref="E11">IFERROR(INDEX('Cert Data Sheet'!$A$3:$E$990,SMALL(IF('Cert Data Sheet'!$A$3:$A$990=$E$3,ROW('Cert Data Sheet'!$A$3:$A$990)),ROW(4:4))-2,3),"")</f>
        <v>0</v>
      </c>
      <c r="F11" s="1">
        <f t="array" ref="F11">IFERROR(INDEX('Cert Data Sheet'!$A$3:$E$990,SMALL(IF('Cert Data Sheet'!$A$3:$A$990=$E$3,ROW('Cert Data Sheet'!$A$3:$A$990)),ROW(4:4))-2,4),"")</f>
        <v>0</v>
      </c>
      <c r="G11" s="12"/>
      <c r="H11" t="str">
        <f>IFERROR(IF(G11="","",VLOOKUP(G11,Points!$A$2:$B$6,2,FALSE)),"")</f>
        <v/>
      </c>
      <c r="I11" s="1" t="str">
        <f t="shared" si="0"/>
        <v/>
      </c>
    </row>
    <row r="12" spans="2:9" hidden="1" x14ac:dyDescent="0.25">
      <c r="B12" t="s">
        <v>3</v>
      </c>
      <c r="C12" s="1">
        <f t="array" ref="C12">IFERROR(INDEX('Cert Data Sheet'!$A$3:$E$990,SMALL(IF('Cert Data Sheet'!$A$3:$A$990=$E$3,ROW('Cert Data Sheet'!$A$3:$A$990)),ROW(5:5))-2,5),"")</f>
        <v>0</v>
      </c>
      <c r="D12" s="1">
        <f t="array" ref="D12">IFERROR(INDEX('Cert Data Sheet'!$A$3:$E$990,SMALL(IF('Cert Data Sheet'!$A$3:$A$990=$E$3,ROW('Cert Data Sheet'!$A$3:$A$990)),ROW(5:5))-2,2),"")</f>
        <v>0</v>
      </c>
      <c r="E12">
        <f t="array" ref="E12">IFERROR(INDEX('Cert Data Sheet'!$A$3:$E$990,SMALL(IF('Cert Data Sheet'!$A$3:$A$990=$E$3,ROW('Cert Data Sheet'!$A$3:$A$990)),ROW(5:5))-2,3),"")</f>
        <v>0</v>
      </c>
      <c r="F12" s="1">
        <f t="array" ref="F12">IFERROR(INDEX('Cert Data Sheet'!$A$3:$E$990,SMALL(IF('Cert Data Sheet'!$A$3:$A$990=$E$3,ROW('Cert Data Sheet'!$A$3:$A$990)),ROW(5:5))-2,4),"")</f>
        <v>0</v>
      </c>
      <c r="G12" s="12"/>
      <c r="H12" t="str">
        <f>IFERROR(IF(G12="","",VLOOKUP(G12,Points!$A$2:$B$6,2,FALSE)),"")</f>
        <v/>
      </c>
      <c r="I12" s="1" t="str">
        <f t="shared" si="0"/>
        <v/>
      </c>
    </row>
    <row r="13" spans="2:9" hidden="1" x14ac:dyDescent="0.25">
      <c r="B13" t="s">
        <v>3</v>
      </c>
      <c r="C13" s="1">
        <f t="array" ref="C13">IFERROR(INDEX('Cert Data Sheet'!$A$3:$E$990,SMALL(IF('Cert Data Sheet'!$A$3:$A$990=$E$3,ROW('Cert Data Sheet'!$A$3:$A$990)),ROW(6:6))-2,5),"")</f>
        <v>0</v>
      </c>
      <c r="D13" s="1">
        <f t="array" ref="D13">IFERROR(INDEX('Cert Data Sheet'!$A$3:$E$990,SMALL(IF('Cert Data Sheet'!$A$3:$A$990=$E$3,ROW('Cert Data Sheet'!$A$3:$A$990)),ROW(6:6))-2,2),"")</f>
        <v>0</v>
      </c>
      <c r="E13">
        <f t="array" ref="E13">IFERROR(INDEX('Cert Data Sheet'!$A$3:$E$990,SMALL(IF('Cert Data Sheet'!$A$3:$A$990=$E$3,ROW('Cert Data Sheet'!$A$3:$A$990)),ROW(6:6))-2,3),"")</f>
        <v>0</v>
      </c>
      <c r="F13" s="1">
        <f t="array" ref="F13">IFERROR(INDEX('Cert Data Sheet'!$A$3:$E$990,SMALL(IF('Cert Data Sheet'!$A$3:$A$990=$E$3,ROW('Cert Data Sheet'!$A$3:$A$990)),ROW(6:6))-2,4),"")</f>
        <v>0</v>
      </c>
      <c r="G13" s="12"/>
      <c r="H13" t="str">
        <f>IFERROR(IF(G13="","",VLOOKUP(G13,Points!$A$2:$B$6,2,FALSE)),"")</f>
        <v/>
      </c>
      <c r="I13" s="1" t="str">
        <f t="shared" si="0"/>
        <v/>
      </c>
    </row>
    <row r="14" spans="2:9" hidden="1" x14ac:dyDescent="0.25">
      <c r="B14" t="s">
        <v>3</v>
      </c>
      <c r="C14" s="1">
        <f t="array" ref="C14">IFERROR(INDEX('Cert Data Sheet'!$A$3:$E$990,SMALL(IF('Cert Data Sheet'!$A$3:$A$990=$E$3,ROW('Cert Data Sheet'!$A$3:$A$990)),ROW(7:7))-2,5),"")</f>
        <v>0</v>
      </c>
      <c r="D14" s="1">
        <f t="array" ref="D14">IFERROR(INDEX('Cert Data Sheet'!$A$3:$E$990,SMALL(IF('Cert Data Sheet'!$A$3:$A$990=$E$3,ROW('Cert Data Sheet'!$A$3:$A$990)),ROW(7:7))-2,2),"")</f>
        <v>0</v>
      </c>
      <c r="E14">
        <f t="array" ref="E14">IFERROR(INDEX('Cert Data Sheet'!$A$3:$E$990,SMALL(IF('Cert Data Sheet'!$A$3:$A$990=$E$3,ROW('Cert Data Sheet'!$A$3:$A$990)),ROW(7:7))-2,3),"")</f>
        <v>0</v>
      </c>
      <c r="F14" s="1">
        <f t="array" ref="F14">IFERROR(INDEX('Cert Data Sheet'!$A$3:$E$990,SMALL(IF('Cert Data Sheet'!$A$3:$A$990=$E$3,ROW('Cert Data Sheet'!$A$3:$A$990)),ROW(7:7))-2,4),"")</f>
        <v>0</v>
      </c>
      <c r="G14" s="12"/>
      <c r="H14" t="str">
        <f>IFERROR(IF(G14="","",VLOOKUP(G14,Points!$A$2:$B$6,2,FALSE)),"")</f>
        <v/>
      </c>
      <c r="I14" s="1" t="str">
        <f t="shared" si="0"/>
        <v/>
      </c>
    </row>
    <row r="15" spans="2:9" hidden="1" x14ac:dyDescent="0.25">
      <c r="B15" t="s">
        <v>3</v>
      </c>
      <c r="C15" s="1">
        <f t="array" ref="C15">IFERROR(INDEX('Cert Data Sheet'!$A$3:$E$990,SMALL(IF('Cert Data Sheet'!$A$3:$A$990=$E$3,ROW('Cert Data Sheet'!$A$3:$A$990)),ROW(8:8))-2,5),"")</f>
        <v>0</v>
      </c>
      <c r="D15" s="1">
        <f t="array" ref="D15">IFERROR(INDEX('Cert Data Sheet'!$A$3:$E$990,SMALL(IF('Cert Data Sheet'!$A$3:$A$990=$E$3,ROW('Cert Data Sheet'!$A$3:$A$990)),ROW(8:8))-2,2),"")</f>
        <v>0</v>
      </c>
      <c r="E15">
        <f t="array" ref="E15">IFERROR(INDEX('Cert Data Sheet'!$A$3:$E$990,SMALL(IF('Cert Data Sheet'!$A$3:$A$990=$E$3,ROW('Cert Data Sheet'!$A$3:$A$990)),ROW(8:8))-2,3),"")</f>
        <v>0</v>
      </c>
      <c r="F15" s="1">
        <f t="array" ref="F15">IFERROR(INDEX('Cert Data Sheet'!$A$3:$E$990,SMALL(IF('Cert Data Sheet'!$A$3:$A$990=$E$3,ROW('Cert Data Sheet'!$A$3:$A$990)),ROW(8:8))-2,4),"")</f>
        <v>0</v>
      </c>
      <c r="G15" s="12"/>
      <c r="H15" t="str">
        <f>IFERROR(IF(G15="","",VLOOKUP(G15,Points!$A$2:$B$6,2,FALSE)),"")</f>
        <v/>
      </c>
      <c r="I15" s="1" t="str">
        <f t="shared" si="0"/>
        <v/>
      </c>
    </row>
    <row r="16" spans="2:9" hidden="1" x14ac:dyDescent="0.25">
      <c r="B16" t="s">
        <v>3</v>
      </c>
      <c r="C16" s="1">
        <f t="array" ref="C16">IFERROR(INDEX('Cert Data Sheet'!$A$3:$E$990,SMALL(IF('Cert Data Sheet'!$A$3:$A$990=$E$3,ROW('Cert Data Sheet'!$A$3:$A$990)),ROW(9:9))-2,5),"")</f>
        <v>0</v>
      </c>
      <c r="D16" s="1">
        <f t="array" ref="D16">IFERROR(INDEX('Cert Data Sheet'!$A$3:$E$990,SMALL(IF('Cert Data Sheet'!$A$3:$A$990=$E$3,ROW('Cert Data Sheet'!$A$3:$A$990)),ROW(9:9))-2,2),"")</f>
        <v>0</v>
      </c>
      <c r="E16">
        <f t="array" ref="E16">IFERROR(INDEX('Cert Data Sheet'!$A$3:$E$990,SMALL(IF('Cert Data Sheet'!$A$3:$A$990=$E$3,ROW('Cert Data Sheet'!$A$3:$A$990)),ROW(9:9))-2,3),"")</f>
        <v>0</v>
      </c>
      <c r="F16" s="1">
        <f t="array" ref="F16">IFERROR(INDEX('Cert Data Sheet'!$A$3:$E$990,SMALL(IF('Cert Data Sheet'!$A$3:$A$990=$E$3,ROW('Cert Data Sheet'!$A$3:$A$990)),ROW(9:9))-2,4),"")</f>
        <v>0</v>
      </c>
      <c r="G16" s="12"/>
      <c r="H16" t="str">
        <f>IFERROR(IF(G16="","",VLOOKUP(G16,Points!$A$2:$B$6,2,FALSE)),"")</f>
        <v/>
      </c>
      <c r="I16" s="1" t="str">
        <f t="shared" si="0"/>
        <v/>
      </c>
    </row>
    <row r="17" spans="2:9" hidden="1" x14ac:dyDescent="0.25">
      <c r="B17" t="s">
        <v>3</v>
      </c>
      <c r="C17" s="1">
        <f t="array" ref="C17">IFERROR(INDEX('Cert Data Sheet'!$A$3:$E$990,SMALL(IF('Cert Data Sheet'!$A$3:$A$990=$E$3,ROW('Cert Data Sheet'!$A$3:$A$990)),ROW(10:10))-2,5),"")</f>
        <v>0</v>
      </c>
      <c r="D17" s="1">
        <f t="array" ref="D17">IFERROR(INDEX('Cert Data Sheet'!$A$3:$E$990,SMALL(IF('Cert Data Sheet'!$A$3:$A$990=$E$3,ROW('Cert Data Sheet'!$A$3:$A$990)),ROW(10:10))-2,2),"")</f>
        <v>0</v>
      </c>
      <c r="E17">
        <f t="array" ref="E17">IFERROR(INDEX('Cert Data Sheet'!$A$3:$E$990,SMALL(IF('Cert Data Sheet'!$A$3:$A$990=$E$3,ROW('Cert Data Sheet'!$A$3:$A$990)),ROW(10:10))-2,3),"")</f>
        <v>0</v>
      </c>
      <c r="F17" s="1">
        <f t="array" ref="F17">IFERROR(INDEX('Cert Data Sheet'!$A$3:$E$990,SMALL(IF('Cert Data Sheet'!$A$3:$A$990=$E$3,ROW('Cert Data Sheet'!$A$3:$A$990)),ROW(10:10))-2,4),"")</f>
        <v>0</v>
      </c>
      <c r="G17" s="12"/>
      <c r="H17" t="str">
        <f>IFERROR(IF(G17="","",VLOOKUP(G17,Points!$A$2:$B$6,2,FALSE)),"")</f>
        <v/>
      </c>
      <c r="I17" s="1" t="str">
        <f t="shared" si="0"/>
        <v/>
      </c>
    </row>
    <row r="18" spans="2:9" x14ac:dyDescent="0.25">
      <c r="C18" s="1"/>
      <c r="D18" s="1"/>
      <c r="F18" s="10">
        <f>SUM(F8:F17)</f>
        <v>0</v>
      </c>
      <c r="G18" s="17"/>
      <c r="I18" s="1"/>
    </row>
    <row r="19" spans="2:9" ht="15.75" x14ac:dyDescent="0.25">
      <c r="B19" s="16" t="s">
        <v>577</v>
      </c>
      <c r="C19" s="1"/>
      <c r="D19" s="1"/>
      <c r="F19" s="1"/>
      <c r="G19" s="17"/>
      <c r="I19" s="1"/>
    </row>
    <row r="20" spans="2:9" x14ac:dyDescent="0.25">
      <c r="B20" t="s">
        <v>4</v>
      </c>
      <c r="C20" s="1">
        <f t="array" ref="C20">IFERROR(INDEX('Cert Data Sheet'!$L$3:$L$990,MATCH(Cert!E20&amp;$E$3,'Cert Data Sheet'!$G$3:$G$990&amp;'Cert Data Sheet'!$H$3:$H$990,0)),"")</f>
        <v>0</v>
      </c>
      <c r="D20" s="1">
        <f t="array" ref="D20">IFERROR(INDEX('Cert Data Sheet'!$I$3:$I$990,MATCH(Cert!E20&amp;$E$3,'Cert Data Sheet'!$G$3:$G$990&amp;'Cert Data Sheet'!$H$3:$H$990,0)),"")</f>
        <v>0</v>
      </c>
      <c r="E20" s="13"/>
      <c r="F20" s="1">
        <f t="array" ref="F20">IFERROR(INDEX('Cert Data Sheet'!$K$3:$K$990,MATCH(Cert!E20&amp;$E$3,'Cert Data Sheet'!$G$3:$G$990&amp;'Cert Data Sheet'!$H$3:$H$990,0)),"")</f>
        <v>0</v>
      </c>
      <c r="G20" s="12"/>
      <c r="H20" t="str">
        <f>IFERROR(IF(G20="","",VLOOKUP(G20,Points!$A$2:$B$6,2,FALSE)),"")</f>
        <v/>
      </c>
      <c r="I20" s="1" t="str">
        <f t="shared" ref="I20:I29" si="1">IFERROR(SUM(H20*(F20/10)),"")</f>
        <v/>
      </c>
    </row>
    <row r="21" spans="2:9" x14ac:dyDescent="0.25">
      <c r="B21" t="s">
        <v>4</v>
      </c>
      <c r="C21" s="1">
        <f t="array" ref="C21">IFERROR(INDEX('Cert Data Sheet'!$L$3:$L$990,MATCH(Cert!E21&amp;$E$3,'Cert Data Sheet'!$G$3:$G$990&amp;'Cert Data Sheet'!$H$3:$H$990,0)),"")</f>
        <v>0</v>
      </c>
      <c r="D21" s="1">
        <f t="array" ref="D21">IFERROR(INDEX('Cert Data Sheet'!$I$3:$I$990,MATCH(Cert!E21&amp;$E$3,'Cert Data Sheet'!$G$3:$G$990&amp;'Cert Data Sheet'!$H$3:$H$990,0)),"")</f>
        <v>0</v>
      </c>
      <c r="E21" s="13"/>
      <c r="F21" s="1">
        <f t="array" ref="F21">IFERROR(INDEX('Cert Data Sheet'!$K$3:$K$990,MATCH(Cert!E21&amp;$E$3,'Cert Data Sheet'!$G$3:$G$990&amp;'Cert Data Sheet'!$H$3:$H$990,0)),"")</f>
        <v>0</v>
      </c>
      <c r="G21" s="12"/>
      <c r="H21" t="str">
        <f>IFERROR(IF(G21="","",VLOOKUP(G21,Points!$A$2:$B$6,2,FALSE)),"")</f>
        <v/>
      </c>
      <c r="I21" s="1" t="str">
        <f t="shared" si="1"/>
        <v/>
      </c>
    </row>
    <row r="22" spans="2:9" x14ac:dyDescent="0.25">
      <c r="B22" t="s">
        <v>4</v>
      </c>
      <c r="C22" s="1">
        <f t="array" ref="C22">IFERROR(INDEX('Cert Data Sheet'!$L$3:$L$990,MATCH(Cert!E22&amp;$E$3,'Cert Data Sheet'!$G$3:$G$990&amp;'Cert Data Sheet'!$H$3:$H$990,0)),"")</f>
        <v>0</v>
      </c>
      <c r="D22" s="1">
        <f t="array" ref="D22">IFERROR(INDEX('Cert Data Sheet'!$I$3:$I$990,MATCH(Cert!E22&amp;$E$3,'Cert Data Sheet'!$G$3:$G$990&amp;'Cert Data Sheet'!$H$3:$H$990,0)),"")</f>
        <v>0</v>
      </c>
      <c r="E22" s="13"/>
      <c r="F22" s="1">
        <f t="array" ref="F22">IFERROR(INDEX('Cert Data Sheet'!$K$3:$K$990,MATCH(Cert!E22&amp;$E$3,'Cert Data Sheet'!$G$3:$G$990&amp;'Cert Data Sheet'!$H$3:$H$990,0)),"")</f>
        <v>0</v>
      </c>
      <c r="G22" s="12"/>
      <c r="H22" t="str">
        <f>IFERROR(IF(G22="","",VLOOKUP(G22,Points!$A$2:$B$6,2,FALSE)),"")</f>
        <v/>
      </c>
      <c r="I22" s="1" t="str">
        <f t="shared" si="1"/>
        <v/>
      </c>
    </row>
    <row r="23" spans="2:9" x14ac:dyDescent="0.25">
      <c r="B23" t="s">
        <v>4</v>
      </c>
      <c r="C23" s="1">
        <f t="array" ref="C23">IFERROR(INDEX('Cert Data Sheet'!$L$3:$L$990,MATCH(Cert!E23&amp;$E$3,'Cert Data Sheet'!$G$3:$G$990&amp;'Cert Data Sheet'!$H$3:$H$990,0)),"")</f>
        <v>0</v>
      </c>
      <c r="D23" s="1">
        <f t="array" ref="D23">IFERROR(INDEX('Cert Data Sheet'!$I$3:$I$990,MATCH(Cert!E23&amp;$E$3,'Cert Data Sheet'!$G$3:$G$990&amp;'Cert Data Sheet'!$H$3:$H$990,0)),"")</f>
        <v>0</v>
      </c>
      <c r="E23" s="13"/>
      <c r="F23" s="1">
        <f t="array" ref="F23">IFERROR(INDEX('Cert Data Sheet'!$K$3:$K$990,MATCH(Cert!E23&amp;$E$3,'Cert Data Sheet'!$G$3:$G$990&amp;'Cert Data Sheet'!$H$3:$H$990,0)),"")</f>
        <v>0</v>
      </c>
      <c r="G23" s="12"/>
      <c r="H23" t="str">
        <f>IFERROR(IF(G23="","",VLOOKUP(G23,Points!$A$2:$B$6,2,FALSE)),"")</f>
        <v/>
      </c>
      <c r="I23" s="1" t="str">
        <f t="shared" si="1"/>
        <v/>
      </c>
    </row>
    <row r="24" spans="2:9" hidden="1" x14ac:dyDescent="0.25">
      <c r="B24" t="s">
        <v>4</v>
      </c>
      <c r="C24" s="1">
        <f t="array" ref="C24">IFERROR(INDEX('Cert Data Sheet'!$L$3:$L$990,MATCH(Cert!E24&amp;$E$3,'Cert Data Sheet'!$G$3:$G$990&amp;'Cert Data Sheet'!$H$3:$H$990,0)),"")</f>
        <v>0</v>
      </c>
      <c r="D24" s="1">
        <f t="array" ref="D24">IFERROR(INDEX('Cert Data Sheet'!$I$3:$I$990,MATCH(Cert!E24&amp;$E$3,'Cert Data Sheet'!$G$3:$G$990&amp;'Cert Data Sheet'!$H$3:$H$990,0)),"")</f>
        <v>0</v>
      </c>
      <c r="E24" s="13"/>
      <c r="F24" s="1">
        <f t="array" ref="F24">IFERROR(INDEX('Cert Data Sheet'!$K$3:$K$990,MATCH(Cert!E24&amp;$E$3,'Cert Data Sheet'!$G$3:$G$990&amp;'Cert Data Sheet'!$H$3:$H$990,0)),"")</f>
        <v>0</v>
      </c>
      <c r="G24" s="12"/>
      <c r="H24" t="str">
        <f>IFERROR(IF(G24="","",VLOOKUP(G24,Points!$A$2:$B$6,2,FALSE)),"")</f>
        <v/>
      </c>
      <c r="I24" s="1" t="str">
        <f t="shared" si="1"/>
        <v/>
      </c>
    </row>
    <row r="25" spans="2:9" hidden="1" x14ac:dyDescent="0.25">
      <c r="B25" t="s">
        <v>4</v>
      </c>
      <c r="C25" s="1">
        <f t="array" ref="C25">IFERROR(INDEX('Cert Data Sheet'!$L$3:$L$990,MATCH(Cert!E25&amp;$E$3,'Cert Data Sheet'!$G$3:$G$990&amp;'Cert Data Sheet'!$H$3:$H$990,0)),"")</f>
        <v>0</v>
      </c>
      <c r="D25" s="1">
        <f t="array" ref="D25">IFERROR(INDEX('Cert Data Sheet'!$I$3:$I$990,MATCH(Cert!E25&amp;$E$3,'Cert Data Sheet'!$G$3:$G$990&amp;'Cert Data Sheet'!$H$3:$H$990,0)),"")</f>
        <v>0</v>
      </c>
      <c r="E25" s="13"/>
      <c r="F25" s="1">
        <f t="array" ref="F25">IFERROR(INDEX('Cert Data Sheet'!$K$3:$K$990,MATCH(Cert!E25&amp;$E$3,'Cert Data Sheet'!$G$3:$G$990&amp;'Cert Data Sheet'!$H$3:$H$990,0)),"")</f>
        <v>0</v>
      </c>
      <c r="G25" s="12"/>
      <c r="H25" t="str">
        <f>IFERROR(IF(G25="","",VLOOKUP(G25,Points!$A$2:$B$6,2,FALSE)),"")</f>
        <v/>
      </c>
      <c r="I25" s="1" t="str">
        <f t="shared" si="1"/>
        <v/>
      </c>
    </row>
    <row r="26" spans="2:9" hidden="1" x14ac:dyDescent="0.25">
      <c r="B26" t="s">
        <v>4</v>
      </c>
      <c r="C26" s="1">
        <f t="array" ref="C26">IFERROR(INDEX('Cert Data Sheet'!$L$3:$L$990,MATCH(Cert!E26&amp;$E$3,'Cert Data Sheet'!$G$3:$G$990&amp;'Cert Data Sheet'!$H$3:$H$990,0)),"")</f>
        <v>0</v>
      </c>
      <c r="D26" s="1">
        <f t="array" ref="D26">IFERROR(INDEX('Cert Data Sheet'!$I$3:$I$990,MATCH(Cert!E26&amp;$E$3,'Cert Data Sheet'!$G$3:$G$990&amp;'Cert Data Sheet'!$H$3:$H$990,0)),"")</f>
        <v>0</v>
      </c>
      <c r="E26" s="13"/>
      <c r="F26" s="1">
        <f t="array" ref="F26">IFERROR(INDEX('Cert Data Sheet'!$K$3:$K$990,MATCH(Cert!E26&amp;$E$3,'Cert Data Sheet'!$G$3:$G$990&amp;'Cert Data Sheet'!$H$3:$H$990,0)),"")</f>
        <v>0</v>
      </c>
      <c r="G26" s="12"/>
      <c r="H26" t="str">
        <f>IFERROR(IF(G26="","",VLOOKUP(G26,Points!$A$2:$B$6,2,FALSE)),"")</f>
        <v/>
      </c>
      <c r="I26" s="1" t="str">
        <f t="shared" si="1"/>
        <v/>
      </c>
    </row>
    <row r="27" spans="2:9" hidden="1" x14ac:dyDescent="0.25">
      <c r="B27" t="s">
        <v>4</v>
      </c>
      <c r="C27" s="1">
        <f t="array" ref="C27">IFERROR(INDEX('Cert Data Sheet'!$L$3:$L$990,MATCH(Cert!E27&amp;$E$3,'Cert Data Sheet'!$G$3:$G$990&amp;'Cert Data Sheet'!$H$3:$H$990,0)),"")</f>
        <v>0</v>
      </c>
      <c r="D27" s="1">
        <f t="array" ref="D27">IFERROR(INDEX('Cert Data Sheet'!$I$3:$I$990,MATCH(Cert!E27&amp;$E$3,'Cert Data Sheet'!$G$3:$G$990&amp;'Cert Data Sheet'!$H$3:$H$990,0)),"")</f>
        <v>0</v>
      </c>
      <c r="E27" s="13"/>
      <c r="F27" s="1">
        <f t="array" ref="F27">IFERROR(INDEX('Cert Data Sheet'!$K$3:$K$990,MATCH(Cert!E27&amp;$E$3,'Cert Data Sheet'!$G$3:$G$990&amp;'Cert Data Sheet'!$H$3:$H$990,0)),"")</f>
        <v>0</v>
      </c>
      <c r="G27" s="12"/>
      <c r="H27" t="str">
        <f>IFERROR(IF(G27="","",VLOOKUP(G27,Points!$A$2:$B$6,2,FALSE)),"")</f>
        <v/>
      </c>
      <c r="I27" s="1" t="str">
        <f t="shared" si="1"/>
        <v/>
      </c>
    </row>
    <row r="28" spans="2:9" hidden="1" x14ac:dyDescent="0.25">
      <c r="B28" t="s">
        <v>4</v>
      </c>
      <c r="C28" s="1">
        <f t="array" ref="C28">IFERROR(INDEX('Cert Data Sheet'!$L$3:$L$990,MATCH(Cert!E28&amp;$E$3,'Cert Data Sheet'!$G$3:$G$990&amp;'Cert Data Sheet'!$H$3:$H$990,0)),"")</f>
        <v>0</v>
      </c>
      <c r="D28" s="1">
        <f t="array" ref="D28">IFERROR(INDEX('Cert Data Sheet'!$I$3:$I$990,MATCH(Cert!E28&amp;$E$3,'Cert Data Sheet'!$G$3:$G$990&amp;'Cert Data Sheet'!$H$3:$H$990,0)),"")</f>
        <v>0</v>
      </c>
      <c r="E28" s="13"/>
      <c r="F28" s="1">
        <f t="array" ref="F28">IFERROR(INDEX('Cert Data Sheet'!$K$3:$K$990,MATCH(Cert!E28&amp;$E$3,'Cert Data Sheet'!$G$3:$G$990&amp;'Cert Data Sheet'!$H$3:$H$990,0)),"")</f>
        <v>0</v>
      </c>
      <c r="G28" s="15"/>
      <c r="H28" t="str">
        <f>IFERROR(IF(G28="","",VLOOKUP(G28,Points!$A$2:$B$6,2,FALSE)),"")</f>
        <v/>
      </c>
      <c r="I28" s="1" t="str">
        <f t="shared" si="1"/>
        <v/>
      </c>
    </row>
    <row r="29" spans="2:9" hidden="1" x14ac:dyDescent="0.25">
      <c r="B29" t="s">
        <v>4</v>
      </c>
      <c r="C29" s="1">
        <f t="array" ref="C29">IFERROR(INDEX('Cert Data Sheet'!$L$3:$L$990,MATCH(Cert!E29&amp;$E$3,'Cert Data Sheet'!$G$3:$G$990&amp;'Cert Data Sheet'!$H$3:$H$990,0)),"")</f>
        <v>0</v>
      </c>
      <c r="D29" s="1">
        <f t="array" ref="D29">IFERROR(INDEX('Cert Data Sheet'!$I$3:$I$990,MATCH(Cert!E29&amp;$E$3,'Cert Data Sheet'!$G$3:$G$990&amp;'Cert Data Sheet'!$H$3:$H$990,0)),"")</f>
        <v>0</v>
      </c>
      <c r="E29" s="13"/>
      <c r="F29" s="1">
        <f t="array" ref="F29">IFERROR(INDEX('Cert Data Sheet'!$K$3:$K$990,MATCH(Cert!E29&amp;$E$3,'Cert Data Sheet'!$G$3:$G$990&amp;'Cert Data Sheet'!$H$3:$H$990,0)),"")</f>
        <v>0</v>
      </c>
      <c r="G29" s="15"/>
      <c r="H29" t="str">
        <f>IFERROR(IF(G29="","",VLOOKUP(G29,Points!$A$2:$B$6,2,FALSE)),"")</f>
        <v/>
      </c>
      <c r="I29" s="1" t="str">
        <f t="shared" si="1"/>
        <v/>
      </c>
    </row>
    <row r="30" spans="2:9" hidden="1" x14ac:dyDescent="0.25">
      <c r="E30" s="14"/>
      <c r="F30" s="10">
        <f>SUM(F20:F29)</f>
        <v>0</v>
      </c>
      <c r="G30" s="14"/>
      <c r="I30" s="1"/>
    </row>
    <row r="31" spans="2:9" ht="15.75" hidden="1" x14ac:dyDescent="0.25">
      <c r="B31" s="16" t="s">
        <v>528</v>
      </c>
      <c r="E31" s="14"/>
      <c r="F31" s="1"/>
      <c r="G31" s="14"/>
      <c r="I31" s="1"/>
    </row>
    <row r="32" spans="2:9" hidden="1" x14ac:dyDescent="0.25">
      <c r="B32" t="s">
        <v>4</v>
      </c>
      <c r="C32" s="1">
        <f t="array" ref="C32">IFERROR(INDEX('Cert Data Sheet'!$S$3:$S$990,MATCH(Cert!E32&amp;$E$3,'Cert Data Sheet'!$N$3:$N$990&amp;'Cert Data Sheet'!$O$3:$O$990,0)),"")</f>
        <v>0</v>
      </c>
      <c r="D32" s="1">
        <f t="array" ref="D32">IFERROR(INDEX('Cert Data Sheet'!$P$3:$P$990,MATCH(Cert!E32&amp;$E$3,'Cert Data Sheet'!$N$3:$N$990&amp;'Cert Data Sheet'!$O$3:$O$990,0)),"")</f>
        <v>0</v>
      </c>
      <c r="E32" s="13"/>
      <c r="F32" s="1">
        <f t="array" ref="F32">IFERROR(INDEX('Cert Data Sheet'!$R$3:$R$990,MATCH(Cert!E32&amp;$E$3,'Cert Data Sheet'!$N$3:$N$990&amp;'Cert Data Sheet'!$O$3:$O$990,0)),"")</f>
        <v>0</v>
      </c>
      <c r="G32" s="12"/>
      <c r="H32" t="str">
        <f>IFERROR(IF(G32="","",VLOOKUP(G32,Points!$A$2:$B$6,2,FALSE)),"")</f>
        <v/>
      </c>
      <c r="I32" s="1" t="str">
        <f t="shared" ref="I32:I41" si="2">IFERROR(SUM(H32*(F32/10)),"")</f>
        <v/>
      </c>
    </row>
    <row r="33" spans="2:9" hidden="1" x14ac:dyDescent="0.25">
      <c r="B33" t="s">
        <v>4</v>
      </c>
      <c r="C33" s="1">
        <f t="array" ref="C33">IFERROR(INDEX('Cert Data Sheet'!$S$3:$S$990,MATCH(Cert!E33&amp;$E$3,'Cert Data Sheet'!$N$3:$N$990&amp;'Cert Data Sheet'!$O$3:$O$990,0)),"")</f>
        <v>0</v>
      </c>
      <c r="D33" s="1">
        <f t="array" ref="D33">IFERROR(INDEX('Cert Data Sheet'!$P$3:$P$990,MATCH(Cert!E33&amp;$E$3,'Cert Data Sheet'!$N$3:$N$990&amp;'Cert Data Sheet'!$O$3:$O$990,0)),"")</f>
        <v>0</v>
      </c>
      <c r="E33" s="13"/>
      <c r="F33" s="1">
        <f t="array" ref="F33">IFERROR(INDEX('Cert Data Sheet'!$R$3:$R$990,MATCH(Cert!E33&amp;$E$3,'Cert Data Sheet'!$N$3:$N$990&amp;'Cert Data Sheet'!$O$3:$O$990,0)),"")</f>
        <v>0</v>
      </c>
      <c r="G33" s="12"/>
      <c r="H33" t="str">
        <f>IFERROR(IF(G33="","",VLOOKUP(G33,Points!$A$2:$B$6,2,FALSE)),"")</f>
        <v/>
      </c>
      <c r="I33" s="1" t="str">
        <f t="shared" si="2"/>
        <v/>
      </c>
    </row>
    <row r="34" spans="2:9" hidden="1" x14ac:dyDescent="0.25">
      <c r="B34" t="s">
        <v>4</v>
      </c>
      <c r="C34" s="1">
        <f t="array" ref="C34">IFERROR(INDEX('Cert Data Sheet'!$S$3:$S$990,MATCH(Cert!E34&amp;$E$3,'Cert Data Sheet'!$N$3:$N$990&amp;'Cert Data Sheet'!$O$3:$O$990,0)),"")</f>
        <v>0</v>
      </c>
      <c r="D34" s="1">
        <f t="array" ref="D34">IFERROR(INDEX('Cert Data Sheet'!$P$3:$P$990,MATCH(Cert!E34&amp;$E$3,'Cert Data Sheet'!$N$3:$N$990&amp;'Cert Data Sheet'!$O$3:$O$990,0)),"")</f>
        <v>0</v>
      </c>
      <c r="E34" s="13"/>
      <c r="F34" s="1">
        <f t="array" ref="F34">IFERROR(INDEX('Cert Data Sheet'!$R$3:$R$990,MATCH(Cert!E34&amp;$E$3,'Cert Data Sheet'!$N$3:$N$990&amp;'Cert Data Sheet'!$O$3:$O$990,0)),"")</f>
        <v>0</v>
      </c>
      <c r="G34" s="12"/>
      <c r="H34" t="str">
        <f>IFERROR(IF(G34="","",VLOOKUP(G34,Points!$A$2:$B$6,2,FALSE)),"")</f>
        <v/>
      </c>
      <c r="I34" s="1" t="str">
        <f t="shared" si="2"/>
        <v/>
      </c>
    </row>
    <row r="35" spans="2:9" hidden="1" x14ac:dyDescent="0.25">
      <c r="B35" t="s">
        <v>4</v>
      </c>
      <c r="C35" s="1">
        <f t="array" ref="C35">IFERROR(INDEX('Cert Data Sheet'!$S$3:$S$990,MATCH(Cert!E35&amp;$E$3,'Cert Data Sheet'!$N$3:$N$990&amp;'Cert Data Sheet'!$O$3:$O$990,0)),"")</f>
        <v>0</v>
      </c>
      <c r="D35" s="1">
        <f t="array" ref="D35">IFERROR(INDEX('Cert Data Sheet'!$P$3:$P$990,MATCH(Cert!E35&amp;$E$3,'Cert Data Sheet'!$N$3:$N$990&amp;'Cert Data Sheet'!$O$3:$O$990,0)),"")</f>
        <v>0</v>
      </c>
      <c r="E35" s="13"/>
      <c r="F35" s="1">
        <f t="array" ref="F35">IFERROR(INDEX('Cert Data Sheet'!$R$3:$R$990,MATCH(Cert!E35&amp;$E$3,'Cert Data Sheet'!$N$3:$N$990&amp;'Cert Data Sheet'!$O$3:$O$990,0)),"")</f>
        <v>0</v>
      </c>
      <c r="G35" s="12"/>
      <c r="H35" t="str">
        <f>IFERROR(IF(G35="","",VLOOKUP(G35,Points!$A$2:$B$6,2,FALSE)),"")</f>
        <v/>
      </c>
      <c r="I35" s="1" t="str">
        <f t="shared" si="2"/>
        <v/>
      </c>
    </row>
    <row r="36" spans="2:9" hidden="1" x14ac:dyDescent="0.25">
      <c r="B36" t="s">
        <v>4</v>
      </c>
      <c r="C36" s="1">
        <f t="array" ref="C36">IFERROR(INDEX('Cert Data Sheet'!$S$3:$S$990,MATCH(Cert!E36&amp;$E$3,'Cert Data Sheet'!$N$3:$N$990&amp;'Cert Data Sheet'!$O$3:$O$990,0)),"")</f>
        <v>0</v>
      </c>
      <c r="D36" s="1">
        <f t="array" ref="D36">IFERROR(INDEX('Cert Data Sheet'!$P$3:$P$990,MATCH(Cert!E36&amp;$E$3,'Cert Data Sheet'!$N$3:$N$990&amp;'Cert Data Sheet'!$O$3:$O$990,0)),"")</f>
        <v>0</v>
      </c>
      <c r="E36" s="13"/>
      <c r="F36" s="1">
        <f t="array" ref="F36">IFERROR(INDEX('Cert Data Sheet'!$R$3:$R$990,MATCH(Cert!E36&amp;$E$3,'Cert Data Sheet'!$N$3:$N$990&amp;'Cert Data Sheet'!$O$3:$O$990,0)),"")</f>
        <v>0</v>
      </c>
      <c r="G36" s="12"/>
      <c r="H36" t="str">
        <f>IFERROR(IF(G36="","",VLOOKUP(G36,Points!$A$2:$B$6,2,FALSE)),"")</f>
        <v/>
      </c>
      <c r="I36" s="1" t="str">
        <f t="shared" si="2"/>
        <v/>
      </c>
    </row>
    <row r="37" spans="2:9" hidden="1" x14ac:dyDescent="0.25">
      <c r="B37" t="s">
        <v>4</v>
      </c>
      <c r="C37" s="1">
        <f t="array" ref="C37">IFERROR(INDEX('Cert Data Sheet'!$S$3:$S$990,MATCH(Cert!E37&amp;$E$3,'Cert Data Sheet'!$N$3:$N$990&amp;'Cert Data Sheet'!$O$3:$O$990,0)),"")</f>
        <v>0</v>
      </c>
      <c r="D37" s="1">
        <f t="array" ref="D37">IFERROR(INDEX('Cert Data Sheet'!$P$3:$P$990,MATCH(Cert!E37&amp;$E$3,'Cert Data Sheet'!$N$3:$N$990&amp;'Cert Data Sheet'!$O$3:$O$990,0)),"")</f>
        <v>0</v>
      </c>
      <c r="E37" s="13"/>
      <c r="F37" s="1">
        <f t="array" ref="F37">IFERROR(INDEX('Cert Data Sheet'!$R$3:$R$990,MATCH(Cert!E37&amp;$E$3,'Cert Data Sheet'!$N$3:$N$990&amp;'Cert Data Sheet'!$O$3:$O$990,0)),"")</f>
        <v>0</v>
      </c>
      <c r="G37" s="12"/>
      <c r="H37" t="str">
        <f>IFERROR(IF(G37="","",VLOOKUP(G37,Points!$A$2:$B$6,2,FALSE)),"")</f>
        <v/>
      </c>
      <c r="I37" s="1" t="str">
        <f t="shared" si="2"/>
        <v/>
      </c>
    </row>
    <row r="38" spans="2:9" hidden="1" x14ac:dyDescent="0.25">
      <c r="B38" t="s">
        <v>4</v>
      </c>
      <c r="C38" s="1">
        <f t="array" ref="C38">IFERROR(INDEX('Cert Data Sheet'!$S$3:$S$990,MATCH(Cert!E38&amp;$E$3,'Cert Data Sheet'!$N$3:$N$990&amp;'Cert Data Sheet'!$O$3:$O$990,0)),"")</f>
        <v>0</v>
      </c>
      <c r="D38" s="1">
        <f t="array" ref="D38">IFERROR(INDEX('Cert Data Sheet'!$P$3:$P$990,MATCH(Cert!E38&amp;$E$3,'Cert Data Sheet'!$N$3:$N$990&amp;'Cert Data Sheet'!$O$3:$O$990,0)),"")</f>
        <v>0</v>
      </c>
      <c r="E38" s="13"/>
      <c r="F38" s="1">
        <f t="array" ref="F38">IFERROR(INDEX('Cert Data Sheet'!$R$3:$R$990,MATCH(Cert!E38&amp;$E$3,'Cert Data Sheet'!$N$3:$N$990&amp;'Cert Data Sheet'!$O$3:$O$990,0)),"")</f>
        <v>0</v>
      </c>
      <c r="G38" s="12"/>
      <c r="H38" t="str">
        <f>IFERROR(IF(G38="","",VLOOKUP(G38,Points!$A$2:$B$6,2,FALSE)),"")</f>
        <v/>
      </c>
      <c r="I38" s="1" t="str">
        <f t="shared" si="2"/>
        <v/>
      </c>
    </row>
    <row r="39" spans="2:9" hidden="1" x14ac:dyDescent="0.25">
      <c r="B39" t="s">
        <v>4</v>
      </c>
      <c r="C39" s="1">
        <f t="array" ref="C39">IFERROR(INDEX('Cert Data Sheet'!$S$3:$S$990,MATCH(Cert!E39&amp;$E$3,'Cert Data Sheet'!$N$3:$N$990&amp;'Cert Data Sheet'!$O$3:$O$990,0)),"")</f>
        <v>0</v>
      </c>
      <c r="D39" s="1">
        <f t="array" ref="D39">IFERROR(INDEX('Cert Data Sheet'!$P$3:$P$990,MATCH(Cert!E39&amp;$E$3,'Cert Data Sheet'!$N$3:$N$990&amp;'Cert Data Sheet'!$O$3:$O$990,0)),"")</f>
        <v>0</v>
      </c>
      <c r="E39" s="13"/>
      <c r="F39" s="1">
        <f t="array" ref="F39">IFERROR(INDEX('Cert Data Sheet'!$R$3:$R$990,MATCH(Cert!E39&amp;$E$3,'Cert Data Sheet'!$N$3:$N$990&amp;'Cert Data Sheet'!$O$3:$O$990,0)),"")</f>
        <v>0</v>
      </c>
      <c r="G39" s="12"/>
      <c r="H39" t="str">
        <f>IFERROR(IF(G39="","",VLOOKUP(G39,Points!$A$2:$B$6,2,FALSE)),"")</f>
        <v/>
      </c>
      <c r="I39" s="1" t="str">
        <f t="shared" si="2"/>
        <v/>
      </c>
    </row>
    <row r="40" spans="2:9" hidden="1" x14ac:dyDescent="0.25">
      <c r="B40" t="s">
        <v>4</v>
      </c>
      <c r="C40" s="1">
        <f t="array" ref="C40">IFERROR(INDEX('Cert Data Sheet'!$S$3:$S$990,MATCH(Cert!E40&amp;$E$3,'Cert Data Sheet'!$N$3:$N$990&amp;'Cert Data Sheet'!$O$3:$O$990,0)),"")</f>
        <v>0</v>
      </c>
      <c r="D40" s="1">
        <f t="array" ref="D40">IFERROR(INDEX('Cert Data Sheet'!$P$3:$P$990,MATCH(Cert!E40&amp;$E$3,'Cert Data Sheet'!$N$3:$N$990&amp;'Cert Data Sheet'!$O$3:$O$990,0)),"")</f>
        <v>0</v>
      </c>
      <c r="E40" s="13"/>
      <c r="F40" s="1">
        <f t="array" ref="F40">IFERROR(INDEX('Cert Data Sheet'!$R$3:$R$990,MATCH(Cert!E40&amp;$E$3,'Cert Data Sheet'!$N$3:$N$990&amp;'Cert Data Sheet'!$O$3:$O$990,0)),"")</f>
        <v>0</v>
      </c>
      <c r="G40" s="12"/>
      <c r="H40" t="str">
        <f>IFERROR(IF(G40="","",VLOOKUP(G40,Points!$A$2:$B$6,2,FALSE)),"")</f>
        <v/>
      </c>
      <c r="I40" s="1" t="str">
        <f t="shared" si="2"/>
        <v/>
      </c>
    </row>
    <row r="41" spans="2:9" hidden="1" x14ac:dyDescent="0.25">
      <c r="B41" t="s">
        <v>4</v>
      </c>
      <c r="C41" s="1">
        <f t="array" ref="C41">IFERROR(INDEX('Cert Data Sheet'!$S$3:$S$990,MATCH(Cert!E41&amp;$E$3,'Cert Data Sheet'!$N$3:$N$990&amp;'Cert Data Sheet'!$O$3:$O$990,0)),"")</f>
        <v>0</v>
      </c>
      <c r="D41" s="1">
        <f t="array" ref="D41">IFERROR(INDEX('Cert Data Sheet'!$P$3:$P$990,MATCH(Cert!E41&amp;$E$3,'Cert Data Sheet'!$N$3:$N$990&amp;'Cert Data Sheet'!$O$3:$O$990,0)),"")</f>
        <v>0</v>
      </c>
      <c r="E41" s="13"/>
      <c r="F41" s="1">
        <f t="array" ref="F41">IFERROR(INDEX('Cert Data Sheet'!$R$3:$R$990,MATCH(Cert!E41&amp;$E$3,'Cert Data Sheet'!$N$3:$N$990&amp;'Cert Data Sheet'!$O$3:$O$990,0)),"")</f>
        <v>0</v>
      </c>
      <c r="G41" s="12"/>
      <c r="H41" t="str">
        <f>IFERROR(IF(G41="","",VLOOKUP(G41,Points!$A$2:$B$6,2,FALSE)),"")</f>
        <v/>
      </c>
      <c r="I41" s="1" t="str">
        <f t="shared" si="2"/>
        <v/>
      </c>
    </row>
    <row r="42" spans="2:9" hidden="1" x14ac:dyDescent="0.25">
      <c r="F42" s="10">
        <f>SUM(F32:F41)</f>
        <v>0</v>
      </c>
    </row>
    <row r="43" spans="2:9" ht="18.75" x14ac:dyDescent="0.25">
      <c r="F43" s="21">
        <f>SUM(F18+F30+F42)</f>
        <v>0</v>
      </c>
      <c r="G43" s="4" t="s">
        <v>105</v>
      </c>
      <c r="H43" s="5"/>
      <c r="I43" s="4" t="str">
        <f>IFERROR(IF($I$44="","",VLOOKUP($I$44,Points!$H$2:$I$10,2,TRUE)),"")</f>
        <v>U</v>
      </c>
    </row>
    <row r="44" spans="2:9" ht="15.75" x14ac:dyDescent="0.25">
      <c r="G44" s="6" t="s">
        <v>2</v>
      </c>
      <c r="H44" s="7"/>
      <c r="I44" s="6">
        <f>SUM(I8:I41)</f>
        <v>0</v>
      </c>
    </row>
  </sheetData>
  <sheetProtection password="85BF" sheet="1" objects="1" scenarios="1" formatCells="0" formatColumns="0" formatRows="0" selectLockedCells="1"/>
  <dataValidations count="4">
    <dataValidation type="list" allowBlank="1" showInputMessage="1" showErrorMessage="1" sqref="E20:E29">
      <formula1>OFFSET(INDIRECT(SUBSTITUTE($E$3," ","_")&amp;"_C"&amp;"_units"&amp;"_Group_A"),0,0,COUNT(INDIRECT(SUBSTITUTE($E$3," ","_")&amp;"_C"&amp;"_col"&amp;"_Group_A")),1)</formula1>
    </dataValidation>
    <dataValidation type="list" allowBlank="1" showInputMessage="1" showErrorMessage="1" sqref="E3">
      <formula1>CertSector</formula1>
    </dataValidation>
    <dataValidation type="list" allowBlank="1" showInputMessage="1" showErrorMessage="1" sqref="G8:G17 G20:G29 G32:G41">
      <formula1>UnitGrade</formula1>
    </dataValidation>
    <dataValidation type="list" allowBlank="1" showInputMessage="1" showErrorMessage="1" sqref="E32:E41">
      <formula1>OFFSET(INDIRECT(SUBSTITUTE($E$3," ","_")&amp;"_C"&amp;"_units"&amp;"_Group_B"),0,0,COUNT(INDIRECT(SUBSTITUTE($E$3," ","_")&amp;"_C"&amp;"_col"&amp;"_Group_B")),1)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44"/>
  <sheetViews>
    <sheetView showGridLines="0" topLeftCell="A3" workbookViewId="0">
      <selection activeCell="E3" sqref="E3"/>
    </sheetView>
  </sheetViews>
  <sheetFormatPr defaultRowHeight="15" x14ac:dyDescent="0.25"/>
  <cols>
    <col min="1" max="2" width="10.5703125" bestFit="1" customWidth="1"/>
    <col min="3" max="3" width="17.7109375" bestFit="1" customWidth="1"/>
    <col min="4" max="4" width="13.85546875" bestFit="1" customWidth="1"/>
    <col min="5" max="5" width="83.5703125" bestFit="1" customWidth="1"/>
    <col min="7" max="7" width="17.140625" bestFit="1" customWidth="1"/>
    <col min="8" max="8" width="6.28515625" customWidth="1"/>
    <col min="9" max="9" width="11" customWidth="1"/>
  </cols>
  <sheetData>
    <row r="1" spans="2:9" ht="84.75" customHeight="1" x14ac:dyDescent="0.25"/>
    <row r="3" spans="2:9" ht="18.75" x14ac:dyDescent="0.25">
      <c r="E3" s="11"/>
    </row>
    <row r="7" spans="2:9" ht="15.75" x14ac:dyDescent="0.25">
      <c r="C7" s="2" t="s">
        <v>5</v>
      </c>
      <c r="D7" s="2" t="s">
        <v>6</v>
      </c>
      <c r="E7" s="2" t="s">
        <v>7</v>
      </c>
      <c r="F7" s="2" t="s">
        <v>0</v>
      </c>
      <c r="G7" s="2" t="s">
        <v>1</v>
      </c>
      <c r="H7" s="2"/>
      <c r="I7" s="2" t="s">
        <v>2</v>
      </c>
    </row>
    <row r="8" spans="2:9" hidden="1" x14ac:dyDescent="0.25">
      <c r="B8" t="s">
        <v>3</v>
      </c>
      <c r="C8" s="1">
        <f t="array" ref="C8">IFERROR(INDEX('Ext Cert Data Sheet'!$A$3:$E$997,SMALL(IF('Ext Cert Data Sheet'!$A$3:$A$997=$E$3,ROW('Ext Cert Data Sheet'!$A$3:$A$997)),ROW(1:1))-2,5),"")</f>
        <v>0</v>
      </c>
      <c r="D8" s="1">
        <f t="array" ref="D8">IFERROR(INDEX('Ext Cert Data Sheet'!$A$3:$E$997,SMALL(IF('Ext Cert Data Sheet'!$A$3:$A$997=$E$3,ROW('Ext Cert Data Sheet'!$A$3:$A$997)),ROW(1:1))-2,2),"")</f>
        <v>0</v>
      </c>
      <c r="E8">
        <f t="array" ref="E8">IFERROR(INDEX('Ext Cert Data Sheet'!$A$3:$E$997,SMALL(IF('Ext Cert Data Sheet'!$A$3:$A$997=$E$3,ROW('Ext Cert Data Sheet'!$A$3:$A$997)),ROW(1:1))-2,3),"")</f>
        <v>0</v>
      </c>
      <c r="F8" s="1">
        <f t="array" ref="F8">IFERROR(INDEX('Ext Cert Data Sheet'!$A$3:$E$997,SMALL(IF('Ext Cert Data Sheet'!$A$3:$A$997=$E$3,ROW('Ext Cert Data Sheet'!$A$3:$A$997)),ROW(1:1))-2,4),"")</f>
        <v>0</v>
      </c>
      <c r="G8" s="12"/>
      <c r="H8" t="str">
        <f>IFERROR(IF(G8="","",VLOOKUP(G8,Points!$A$2:$B$6,2,FALSE)),"")</f>
        <v/>
      </c>
      <c r="I8" s="1" t="str">
        <f>IFERROR(SUM(H8*(F8/10)),"")</f>
        <v/>
      </c>
    </row>
    <row r="9" spans="2:9" hidden="1" x14ac:dyDescent="0.25">
      <c r="B9" t="s">
        <v>3</v>
      </c>
      <c r="C9" s="1">
        <f t="array" ref="C9">IFERROR(INDEX('Ext Cert Data Sheet'!$A$3:$E$997,SMALL(IF('Ext Cert Data Sheet'!$A$3:$A$997=$E$3,ROW('Ext Cert Data Sheet'!$A$3:$A$997)),ROW(2:2))-2,5),"")</f>
        <v>0</v>
      </c>
      <c r="D9" s="1">
        <f t="array" ref="D9">IFERROR(INDEX('Ext Cert Data Sheet'!$A$3:$E$997,SMALL(IF('Ext Cert Data Sheet'!$A$3:$A$997=$E$3,ROW('Ext Cert Data Sheet'!$A$3:$A$997)),ROW(2:2))-2,2),"")</f>
        <v>0</v>
      </c>
      <c r="E9">
        <f t="array" ref="E9">IFERROR(INDEX('Ext Cert Data Sheet'!$A$3:$E$997,SMALL(IF('Ext Cert Data Sheet'!$A$3:$A$997=$E$3,ROW('Ext Cert Data Sheet'!$A$3:$A$997)),ROW(2:2))-2,3),"")</f>
        <v>0</v>
      </c>
      <c r="F9" s="1">
        <f t="array" ref="F9">IFERROR(INDEX('Ext Cert Data Sheet'!$A$3:$E$997,SMALL(IF('Ext Cert Data Sheet'!$A$3:$A$997=$E$3,ROW('Ext Cert Data Sheet'!$A$3:$A$997)),ROW(2:2))-2,4),"")</f>
        <v>0</v>
      </c>
      <c r="G9" s="12"/>
      <c r="H9" t="str">
        <f>IFERROR(IF(G9="","",VLOOKUP(G9,Points!$A$2:$B$6,2,FALSE)),"")</f>
        <v/>
      </c>
      <c r="I9" s="1" t="str">
        <f>IFERROR(SUM(H9*(F9/10)),"")</f>
        <v/>
      </c>
    </row>
    <row r="10" spans="2:9" hidden="1" x14ac:dyDescent="0.25">
      <c r="B10" t="s">
        <v>3</v>
      </c>
      <c r="C10" s="1">
        <f t="array" ref="C10">IFERROR(INDEX('Ext Cert Data Sheet'!$A$3:$E$997,SMALL(IF('Ext Cert Data Sheet'!$A$3:$A$997=$E$3,ROW('Ext Cert Data Sheet'!$A$3:$A$997)),ROW(3:3))-2,5),"")</f>
        <v>0</v>
      </c>
      <c r="D10" s="1">
        <f t="array" ref="D10">IFERROR(INDEX('Ext Cert Data Sheet'!$A$3:$E$997,SMALL(IF('Ext Cert Data Sheet'!$A$3:$A$997=$E$3,ROW('Ext Cert Data Sheet'!$A$3:$A$997)),ROW(3:3))-2,2),"")</f>
        <v>0</v>
      </c>
      <c r="E10">
        <f t="array" ref="E10">IFERROR(INDEX('Ext Cert Data Sheet'!$A$3:$E$997,SMALL(IF('Ext Cert Data Sheet'!$A$3:$A$997=$E$3,ROW('Ext Cert Data Sheet'!$A$3:$A$997)),ROW(3:3))-2,3),"")</f>
        <v>0</v>
      </c>
      <c r="F10" s="1">
        <f t="array" ref="F10">IFERROR(INDEX('Ext Cert Data Sheet'!$A$3:$E$997,SMALL(IF('Ext Cert Data Sheet'!$A$3:$A$997=$E$3,ROW('Ext Cert Data Sheet'!$A$3:$A$997)),ROW(3:3))-2,4),"")</f>
        <v>0</v>
      </c>
      <c r="G10" s="12"/>
      <c r="H10" t="str">
        <f>IFERROR(IF(G10="","",VLOOKUP(G10,Points!$A$2:$B$6,2,FALSE)),"")</f>
        <v/>
      </c>
      <c r="I10" s="1" t="str">
        <f t="shared" ref="I10:I17" si="0">IFERROR(SUM(H10*(F10/10)),"")</f>
        <v/>
      </c>
    </row>
    <row r="11" spans="2:9" hidden="1" x14ac:dyDescent="0.25">
      <c r="B11" t="s">
        <v>3</v>
      </c>
      <c r="C11" s="1">
        <f t="array" ref="C11">IFERROR(INDEX('Ext Cert Data Sheet'!$A$3:$E$997,SMALL(IF('Ext Cert Data Sheet'!$A$3:$A$997=$E$3,ROW('Ext Cert Data Sheet'!$A$3:$A$997)),ROW(4:4))-2,5),"")</f>
        <v>0</v>
      </c>
      <c r="D11" s="1">
        <f t="array" ref="D11">IFERROR(INDEX('Ext Cert Data Sheet'!$A$3:$E$997,SMALL(IF('Ext Cert Data Sheet'!$A$3:$A$997=$E$3,ROW('Ext Cert Data Sheet'!$A$3:$A$997)),ROW(4:4))-2,2),"")</f>
        <v>0</v>
      </c>
      <c r="E11">
        <f t="array" ref="E11">IFERROR(INDEX('Ext Cert Data Sheet'!$A$3:$E$997,SMALL(IF('Ext Cert Data Sheet'!$A$3:$A$997=$E$3,ROW('Ext Cert Data Sheet'!$A$3:$A$997)),ROW(4:4))-2,3),"")</f>
        <v>0</v>
      </c>
      <c r="F11" s="1">
        <f t="array" ref="F11">IFERROR(INDEX('Ext Cert Data Sheet'!$A$3:$E$997,SMALL(IF('Ext Cert Data Sheet'!$A$3:$A$997=$E$3,ROW('Ext Cert Data Sheet'!$A$3:$A$997)),ROW(4:4))-2,4),"")</f>
        <v>0</v>
      </c>
      <c r="G11" s="12"/>
      <c r="H11" t="str">
        <f>IFERROR(IF(G11="","",VLOOKUP(G11,Points!$A$2:$B$6,2,FALSE)),"")</f>
        <v/>
      </c>
      <c r="I11" s="1" t="str">
        <f t="shared" si="0"/>
        <v/>
      </c>
    </row>
    <row r="12" spans="2:9" hidden="1" x14ac:dyDescent="0.25">
      <c r="B12" t="s">
        <v>3</v>
      </c>
      <c r="C12" s="1">
        <f t="array" ref="C12">IFERROR(INDEX('Ext Cert Data Sheet'!$A$3:$E$997,SMALL(IF('Ext Cert Data Sheet'!$A$3:$A$997=$E$3,ROW('Ext Cert Data Sheet'!$A$3:$A$997)),ROW(5:5))-2,5),"")</f>
        <v>0</v>
      </c>
      <c r="D12" s="1">
        <f t="array" ref="D12">IFERROR(INDEX('Ext Cert Data Sheet'!$A$3:$E$997,SMALL(IF('Ext Cert Data Sheet'!$A$3:$A$997=$E$3,ROW('Ext Cert Data Sheet'!$A$3:$A$997)),ROW(5:5))-2,2),"")</f>
        <v>0</v>
      </c>
      <c r="E12">
        <f t="array" ref="E12">IFERROR(INDEX('Ext Cert Data Sheet'!$A$3:$E$997,SMALL(IF('Ext Cert Data Sheet'!$A$3:$A$997=$E$3,ROW('Ext Cert Data Sheet'!$A$3:$A$997)),ROW(5:5))-2,3),"")</f>
        <v>0</v>
      </c>
      <c r="F12" s="1">
        <f t="array" ref="F12">IFERROR(INDEX('Ext Cert Data Sheet'!$A$3:$E$997,SMALL(IF('Ext Cert Data Sheet'!$A$3:$A$997=$E$3,ROW('Ext Cert Data Sheet'!$A$3:$A$997)),ROW(5:5))-2,4),"")</f>
        <v>0</v>
      </c>
      <c r="G12" s="12"/>
      <c r="H12" t="str">
        <f>IFERROR(IF(G12="","",VLOOKUP(G12,Points!$A$2:$B$6,2,FALSE)),"")</f>
        <v/>
      </c>
      <c r="I12" s="1" t="str">
        <f t="shared" si="0"/>
        <v/>
      </c>
    </row>
    <row r="13" spans="2:9" hidden="1" x14ac:dyDescent="0.25">
      <c r="B13" t="s">
        <v>3</v>
      </c>
      <c r="C13" s="1">
        <f t="array" ref="C13">IFERROR(INDEX('Ext Cert Data Sheet'!$A$3:$E$997,SMALL(IF('Ext Cert Data Sheet'!$A$3:$A$997=$E$3,ROW('Ext Cert Data Sheet'!$A$3:$A$997)),ROW(6:6))-2,5),"")</f>
        <v>0</v>
      </c>
      <c r="D13" s="1">
        <f t="array" ref="D13">IFERROR(INDEX('Ext Cert Data Sheet'!$A$3:$E$997,SMALL(IF('Ext Cert Data Sheet'!$A$3:$A$997=$E$3,ROW('Ext Cert Data Sheet'!$A$3:$A$997)),ROW(6:6))-2,2),"")</f>
        <v>0</v>
      </c>
      <c r="E13">
        <f t="array" ref="E13">IFERROR(INDEX('Ext Cert Data Sheet'!$A$3:$E$997,SMALL(IF('Ext Cert Data Sheet'!$A$3:$A$997=$E$3,ROW('Ext Cert Data Sheet'!$A$3:$A$997)),ROW(6:6))-2,3),"")</f>
        <v>0</v>
      </c>
      <c r="F13" s="1">
        <f t="array" ref="F13">IFERROR(INDEX('Ext Cert Data Sheet'!$A$3:$E$997,SMALL(IF('Ext Cert Data Sheet'!$A$3:$A$997=$E$3,ROW('Ext Cert Data Sheet'!$A$3:$A$997)),ROW(6:6))-2,4),"")</f>
        <v>0</v>
      </c>
      <c r="G13" s="12"/>
      <c r="H13" t="str">
        <f>IFERROR(IF(G13="","",VLOOKUP(G13,Points!$A$2:$B$6,2,FALSE)),"")</f>
        <v/>
      </c>
      <c r="I13" s="1" t="str">
        <f t="shared" si="0"/>
        <v/>
      </c>
    </row>
    <row r="14" spans="2:9" hidden="1" x14ac:dyDescent="0.25">
      <c r="B14" t="s">
        <v>3</v>
      </c>
      <c r="C14" s="1">
        <f t="array" ref="C14">IFERROR(INDEX('Ext Cert Data Sheet'!$A$3:$E$997,SMALL(IF('Ext Cert Data Sheet'!$A$3:$A$997=$E$3,ROW('Ext Cert Data Sheet'!$A$3:$A$997)),ROW(7:7))-2,5),"")</f>
        <v>0</v>
      </c>
      <c r="D14" s="1">
        <f t="array" ref="D14">IFERROR(INDEX('Ext Cert Data Sheet'!$A$3:$E$997,SMALL(IF('Ext Cert Data Sheet'!$A$3:$A$997=$E$3,ROW('Ext Cert Data Sheet'!$A$3:$A$997)),ROW(7:7))-2,2),"")</f>
        <v>0</v>
      </c>
      <c r="E14">
        <f t="array" ref="E14">IFERROR(INDEX('Ext Cert Data Sheet'!$A$3:$E$997,SMALL(IF('Ext Cert Data Sheet'!$A$3:$A$997=$E$3,ROW('Ext Cert Data Sheet'!$A$3:$A$997)),ROW(7:7))-2,3),"")</f>
        <v>0</v>
      </c>
      <c r="F14" s="1">
        <f t="array" ref="F14">IFERROR(INDEX('Ext Cert Data Sheet'!$A$3:$E$997,SMALL(IF('Ext Cert Data Sheet'!$A$3:$A$997=$E$3,ROW('Ext Cert Data Sheet'!$A$3:$A$997)),ROW(7:7))-2,4),"")</f>
        <v>0</v>
      </c>
      <c r="G14" s="12"/>
      <c r="H14" t="str">
        <f>IFERROR(IF(G14="","",VLOOKUP(G14,Points!$A$2:$B$6,2,FALSE)),"")</f>
        <v/>
      </c>
      <c r="I14" s="1" t="str">
        <f t="shared" si="0"/>
        <v/>
      </c>
    </row>
    <row r="15" spans="2:9" hidden="1" x14ac:dyDescent="0.25">
      <c r="B15" t="s">
        <v>3</v>
      </c>
      <c r="C15" s="1">
        <f t="array" ref="C15">IFERROR(INDEX('Ext Cert Data Sheet'!$A$3:$E$997,SMALL(IF('Ext Cert Data Sheet'!$A$3:$A$997=$E$3,ROW('Ext Cert Data Sheet'!$A$3:$A$997)),ROW(8:8))-2,5),"")</f>
        <v>0</v>
      </c>
      <c r="D15" s="1">
        <f t="array" ref="D15">IFERROR(INDEX('Ext Cert Data Sheet'!$A$3:$E$997,SMALL(IF('Ext Cert Data Sheet'!$A$3:$A$997=$E$3,ROW('Ext Cert Data Sheet'!$A$3:$A$997)),ROW(8:8))-2,2),"")</f>
        <v>0</v>
      </c>
      <c r="E15">
        <f t="array" ref="E15">IFERROR(INDEX('Ext Cert Data Sheet'!$A$3:$E$997,SMALL(IF('Ext Cert Data Sheet'!$A$3:$A$997=$E$3,ROW('Ext Cert Data Sheet'!$A$3:$A$997)),ROW(8:8))-2,3),"")</f>
        <v>0</v>
      </c>
      <c r="F15" s="1">
        <f t="array" ref="F15">IFERROR(INDEX('Ext Cert Data Sheet'!$A$3:$E$997,SMALL(IF('Ext Cert Data Sheet'!$A$3:$A$997=$E$3,ROW('Ext Cert Data Sheet'!$A$3:$A$997)),ROW(8:8))-2,4),"")</f>
        <v>0</v>
      </c>
      <c r="G15" s="12"/>
      <c r="H15" t="str">
        <f>IFERROR(IF(G15="","",VLOOKUP(G15,Points!$A$2:$B$6,2,FALSE)),"")</f>
        <v/>
      </c>
      <c r="I15" s="1" t="str">
        <f t="shared" si="0"/>
        <v/>
      </c>
    </row>
    <row r="16" spans="2:9" hidden="1" x14ac:dyDescent="0.25">
      <c r="B16" t="s">
        <v>3</v>
      </c>
      <c r="C16" s="1">
        <f t="array" ref="C16">IFERROR(INDEX('Ext Cert Data Sheet'!$A$3:$E$997,SMALL(IF('Ext Cert Data Sheet'!$A$3:$A$997=$E$3,ROW('Ext Cert Data Sheet'!$A$3:$A$997)),ROW(9:9))-2,5),"")</f>
        <v>0</v>
      </c>
      <c r="D16" s="1">
        <f t="array" ref="D16">IFERROR(INDEX('Ext Cert Data Sheet'!$A$3:$E$997,SMALL(IF('Ext Cert Data Sheet'!$A$3:$A$997=$E$3,ROW('Ext Cert Data Sheet'!$A$3:$A$997)),ROW(9:9))-2,2),"")</f>
        <v>0</v>
      </c>
      <c r="E16">
        <f t="array" ref="E16">IFERROR(INDEX('Ext Cert Data Sheet'!$A$3:$E$997,SMALL(IF('Ext Cert Data Sheet'!$A$3:$A$997=$E$3,ROW('Ext Cert Data Sheet'!$A$3:$A$997)),ROW(9:9))-2,3),"")</f>
        <v>0</v>
      </c>
      <c r="F16" s="1">
        <f t="array" ref="F16">IFERROR(INDEX('Ext Cert Data Sheet'!$A$3:$E$997,SMALL(IF('Ext Cert Data Sheet'!$A$3:$A$997=$E$3,ROW('Ext Cert Data Sheet'!$A$3:$A$997)),ROW(9:9))-2,4),"")</f>
        <v>0</v>
      </c>
      <c r="G16" s="12"/>
      <c r="H16" t="str">
        <f>IFERROR(IF(G16="","",VLOOKUP(G16,Points!$A$2:$B$6,2,FALSE)),"")</f>
        <v/>
      </c>
      <c r="I16" s="1" t="str">
        <f t="shared" si="0"/>
        <v/>
      </c>
    </row>
    <row r="17" spans="2:9" hidden="1" x14ac:dyDescent="0.25">
      <c r="B17" t="s">
        <v>3</v>
      </c>
      <c r="C17" s="1">
        <f t="array" ref="C17">IFERROR(INDEX('Ext Cert Data Sheet'!$A$3:$E$997,SMALL(IF('Ext Cert Data Sheet'!$A$3:$A$997=$E$3,ROW('Ext Cert Data Sheet'!$A$3:$A$997)),ROW(10:10))-2,5),"")</f>
        <v>0</v>
      </c>
      <c r="D17" s="1">
        <f t="array" ref="D17">IFERROR(INDEX('Ext Cert Data Sheet'!$A$3:$E$997,SMALL(IF('Ext Cert Data Sheet'!$A$3:$A$997=$E$3,ROW('Ext Cert Data Sheet'!$A$3:$A$997)),ROW(10:10))-2,2),"")</f>
        <v>0</v>
      </c>
      <c r="E17">
        <f t="array" ref="E17">IFERROR(INDEX('Ext Cert Data Sheet'!$A$3:$E$997,SMALL(IF('Ext Cert Data Sheet'!$A$3:$A$997=$E$3,ROW('Ext Cert Data Sheet'!$A$3:$A$997)),ROW(10:10))-2,3),"")</f>
        <v>0</v>
      </c>
      <c r="F17" s="1">
        <f t="array" ref="F17">IFERROR(INDEX('Ext Cert Data Sheet'!$A$3:$E$997,SMALL(IF('Ext Cert Data Sheet'!$A$3:$A$997=$E$3,ROW('Ext Cert Data Sheet'!$A$3:$A$997)),ROW(10:10))-2,4),"")</f>
        <v>0</v>
      </c>
      <c r="G17" s="12"/>
      <c r="H17" t="str">
        <f>IFERROR(IF(G17="","",VLOOKUP(G17,Points!$A$2:$B$6,2,FALSE)),"")</f>
        <v/>
      </c>
      <c r="I17" s="1" t="str">
        <f t="shared" si="0"/>
        <v/>
      </c>
    </row>
    <row r="18" spans="2:9" x14ac:dyDescent="0.25">
      <c r="C18" s="1"/>
      <c r="D18" s="1"/>
      <c r="F18" s="10">
        <f>SUM(F8:F17)</f>
        <v>0</v>
      </c>
      <c r="G18" s="17"/>
      <c r="I18" s="1"/>
    </row>
    <row r="19" spans="2:9" ht="15.75" x14ac:dyDescent="0.25">
      <c r="B19" s="16" t="s">
        <v>578</v>
      </c>
      <c r="C19" s="1"/>
      <c r="D19" s="1"/>
      <c r="F19" s="1"/>
      <c r="G19" s="17"/>
      <c r="I19" s="1"/>
    </row>
    <row r="20" spans="2:9" x14ac:dyDescent="0.25">
      <c r="B20" t="s">
        <v>4</v>
      </c>
      <c r="C20" s="1">
        <f t="array" ref="C20">IFERROR(INDEX('Ext Cert Data Sheet'!$L$3:$L$997,MATCH('Ext Cert'!E20&amp;$E$3,'Ext Cert Data Sheet'!$G$3:$G$997&amp;'Ext Cert Data Sheet'!$H$3:$H$997,0)),"")</f>
        <v>0</v>
      </c>
      <c r="D20" s="1">
        <f t="array" ref="D20">IFERROR(INDEX('Ext Cert Data Sheet'!$I$3:$I$997,MATCH('Ext Cert'!E20&amp;$E$3,'Ext Cert Data Sheet'!$G$3:$G$997&amp;'Ext Cert Data Sheet'!$H$3:$H$997,0)),"")</f>
        <v>0</v>
      </c>
      <c r="E20" s="13"/>
      <c r="F20" s="1">
        <f t="array" ref="F20">IFERROR(INDEX('Ext Cert Data Sheet'!$K$3:$K$997,MATCH('Ext Cert'!E20&amp;$E$3,'Ext Cert Data Sheet'!$G$3:$G$997&amp;'Ext Cert Data Sheet'!$H$3:$H$997,0)),"")</f>
        <v>0</v>
      </c>
      <c r="G20" s="12"/>
      <c r="H20" t="str">
        <f>IFERROR(IF(G20="","",VLOOKUP(G20,Points!$A$2:$B$6,2,FALSE)),"")</f>
        <v/>
      </c>
      <c r="I20" s="1" t="str">
        <f t="shared" ref="I20:I29" si="1">IFERROR(SUM(H20*(F20/10)),"")</f>
        <v/>
      </c>
    </row>
    <row r="21" spans="2:9" x14ac:dyDescent="0.25">
      <c r="B21" t="s">
        <v>4</v>
      </c>
      <c r="C21" s="1">
        <f t="array" ref="C21">IFERROR(INDEX('Ext Cert Data Sheet'!$L$3:$L$997,MATCH('Ext Cert'!E21&amp;$E$3,'Ext Cert Data Sheet'!$G$3:$G$997&amp;'Ext Cert Data Sheet'!$H$3:$H$997,0)),"")</f>
        <v>0</v>
      </c>
      <c r="D21" s="1">
        <f t="array" ref="D21">IFERROR(INDEX('Ext Cert Data Sheet'!$I$3:$I$997,MATCH('Ext Cert'!E21&amp;$E$3,'Ext Cert Data Sheet'!$G$3:$G$997&amp;'Ext Cert Data Sheet'!$H$3:$H$997,0)),"")</f>
        <v>0</v>
      </c>
      <c r="E21" s="13"/>
      <c r="F21" s="1">
        <f t="array" ref="F21">IFERROR(INDEX('Ext Cert Data Sheet'!$K$3:$K$997,MATCH('Ext Cert'!E21&amp;$E$3,'Ext Cert Data Sheet'!$G$3:$G$997&amp;'Ext Cert Data Sheet'!$H$3:$H$997,0)),"")</f>
        <v>0</v>
      </c>
      <c r="G21" s="12"/>
      <c r="H21" t="str">
        <f>IFERROR(IF(G21="","",VLOOKUP(G21,Points!$A$2:$B$6,2,FALSE)),"")</f>
        <v/>
      </c>
      <c r="I21" s="1" t="str">
        <f t="shared" si="1"/>
        <v/>
      </c>
    </row>
    <row r="22" spans="2:9" hidden="1" x14ac:dyDescent="0.25">
      <c r="B22" t="s">
        <v>4</v>
      </c>
      <c r="C22" s="1">
        <f t="array" ref="C22">IFERROR(INDEX('Ext Cert Data Sheet'!$L$3:$L$997,MATCH('Ext Cert'!E22&amp;$E$3,'Ext Cert Data Sheet'!$G$3:$G$997&amp;'Ext Cert Data Sheet'!$H$3:$H$997,0)),"")</f>
        <v>0</v>
      </c>
      <c r="D22" s="1">
        <f t="array" ref="D22">IFERROR(INDEX('Ext Cert Data Sheet'!$I$3:$I$997,MATCH('Ext Cert'!E22&amp;$E$3,'Ext Cert Data Sheet'!$G$3:$G$997&amp;'Ext Cert Data Sheet'!$H$3:$H$997,0)),"")</f>
        <v>0</v>
      </c>
      <c r="E22" s="13"/>
      <c r="F22" s="1">
        <f t="array" ref="F22">IFERROR(INDEX('Ext Cert Data Sheet'!$K$3:$K$997,MATCH('Ext Cert'!E22&amp;$E$3,'Ext Cert Data Sheet'!$G$3:$G$997&amp;'Ext Cert Data Sheet'!$H$3:$H$997,0)),"")</f>
        <v>0</v>
      </c>
      <c r="G22" s="12"/>
      <c r="H22" t="str">
        <f>IFERROR(IF(G22="","",VLOOKUP(G22,Points!$A$2:$B$6,2,FALSE)),"")</f>
        <v/>
      </c>
      <c r="I22" s="1" t="str">
        <f t="shared" si="1"/>
        <v/>
      </c>
    </row>
    <row r="23" spans="2:9" hidden="1" x14ac:dyDescent="0.25">
      <c r="B23" t="s">
        <v>4</v>
      </c>
      <c r="C23" s="1">
        <f t="array" ref="C23">IFERROR(INDEX('Ext Cert Data Sheet'!$L$3:$L$997,MATCH('Ext Cert'!E23&amp;$E$3,'Ext Cert Data Sheet'!$G$3:$G$997&amp;'Ext Cert Data Sheet'!$H$3:$H$997,0)),"")</f>
        <v>0</v>
      </c>
      <c r="D23" s="1">
        <f t="array" ref="D23">IFERROR(INDEX('Ext Cert Data Sheet'!$I$3:$I$997,MATCH('Ext Cert'!E23&amp;$E$3,'Ext Cert Data Sheet'!$G$3:$G$997&amp;'Ext Cert Data Sheet'!$H$3:$H$997,0)),"")</f>
        <v>0</v>
      </c>
      <c r="E23" s="13"/>
      <c r="F23" s="1">
        <f t="array" ref="F23">IFERROR(INDEX('Ext Cert Data Sheet'!$K$3:$K$997,MATCH('Ext Cert'!E23&amp;$E$3,'Ext Cert Data Sheet'!$G$3:$G$997&amp;'Ext Cert Data Sheet'!$H$3:$H$997,0)),"")</f>
        <v>0</v>
      </c>
      <c r="G23" s="12"/>
      <c r="H23" t="str">
        <f>IFERROR(IF(G23="","",VLOOKUP(G23,Points!$A$2:$B$6,2,FALSE)),"")</f>
        <v/>
      </c>
      <c r="I23" s="1" t="str">
        <f t="shared" si="1"/>
        <v/>
      </c>
    </row>
    <row r="24" spans="2:9" hidden="1" x14ac:dyDescent="0.25">
      <c r="B24" t="s">
        <v>4</v>
      </c>
      <c r="C24" s="1">
        <f t="array" ref="C24">IFERROR(INDEX('Ext Cert Data Sheet'!$L$3:$L$997,MATCH('Ext Cert'!E24&amp;$E$3,'Ext Cert Data Sheet'!$G$3:$G$997&amp;'Ext Cert Data Sheet'!$H$3:$H$997,0)),"")</f>
        <v>0</v>
      </c>
      <c r="D24" s="1">
        <f t="array" ref="D24">IFERROR(INDEX('Ext Cert Data Sheet'!$I$3:$I$997,MATCH('Ext Cert'!E24&amp;$E$3,'Ext Cert Data Sheet'!$G$3:$G$997&amp;'Ext Cert Data Sheet'!$H$3:$H$997,0)),"")</f>
        <v>0</v>
      </c>
      <c r="E24" s="13"/>
      <c r="F24" s="1">
        <f t="array" ref="F24">IFERROR(INDEX('Ext Cert Data Sheet'!$K$3:$K$997,MATCH('Ext Cert'!E24&amp;$E$3,'Ext Cert Data Sheet'!$G$3:$G$997&amp;'Ext Cert Data Sheet'!$H$3:$H$997,0)),"")</f>
        <v>0</v>
      </c>
      <c r="G24" s="12"/>
      <c r="H24" t="str">
        <f>IFERROR(IF(G24="","",VLOOKUP(G24,Points!$A$2:$B$6,2,FALSE)),"")</f>
        <v/>
      </c>
      <c r="I24" s="1" t="str">
        <f t="shared" si="1"/>
        <v/>
      </c>
    </row>
    <row r="25" spans="2:9" hidden="1" x14ac:dyDescent="0.25">
      <c r="B25" t="s">
        <v>4</v>
      </c>
      <c r="C25" s="1">
        <f t="array" ref="C25">IFERROR(INDEX('Ext Cert Data Sheet'!$L$3:$L$997,MATCH('Ext Cert'!E25&amp;$E$3,'Ext Cert Data Sheet'!$G$3:$G$997&amp;'Ext Cert Data Sheet'!$H$3:$H$997,0)),"")</f>
        <v>0</v>
      </c>
      <c r="D25" s="1">
        <f t="array" ref="D25">IFERROR(INDEX('Ext Cert Data Sheet'!$I$3:$I$997,MATCH('Ext Cert'!E25&amp;$E$3,'Ext Cert Data Sheet'!$G$3:$G$997&amp;'Ext Cert Data Sheet'!$H$3:$H$997,0)),"")</f>
        <v>0</v>
      </c>
      <c r="E25" s="13"/>
      <c r="F25" s="1">
        <f t="array" ref="F25">IFERROR(INDEX('Ext Cert Data Sheet'!$K$3:$K$997,MATCH('Ext Cert'!E25&amp;$E$3,'Ext Cert Data Sheet'!$G$3:$G$997&amp;'Ext Cert Data Sheet'!$H$3:$H$997,0)),"")</f>
        <v>0</v>
      </c>
      <c r="G25" s="12"/>
      <c r="H25" t="str">
        <f>IFERROR(IF(G25="","",VLOOKUP(G25,Points!$A$2:$B$6,2,FALSE)),"")</f>
        <v/>
      </c>
      <c r="I25" s="1" t="str">
        <f t="shared" si="1"/>
        <v/>
      </c>
    </row>
    <row r="26" spans="2:9" hidden="1" x14ac:dyDescent="0.25">
      <c r="B26" t="s">
        <v>4</v>
      </c>
      <c r="C26" s="1">
        <f t="array" ref="C26">IFERROR(INDEX('Ext Cert Data Sheet'!$L$3:$L$997,MATCH('Ext Cert'!E26&amp;$E$3,'Ext Cert Data Sheet'!$G$3:$G$997&amp;'Ext Cert Data Sheet'!$H$3:$H$997,0)),"")</f>
        <v>0</v>
      </c>
      <c r="D26" s="1">
        <f t="array" ref="D26">IFERROR(INDEX('Ext Cert Data Sheet'!$I$3:$I$997,MATCH('Ext Cert'!E26&amp;$E$3,'Ext Cert Data Sheet'!$G$3:$G$997&amp;'Ext Cert Data Sheet'!$H$3:$H$997,0)),"")</f>
        <v>0</v>
      </c>
      <c r="E26" s="13"/>
      <c r="F26" s="1">
        <f t="array" ref="F26">IFERROR(INDEX('Ext Cert Data Sheet'!$K$3:$K$997,MATCH('Ext Cert'!E26&amp;$E$3,'Ext Cert Data Sheet'!$G$3:$G$997&amp;'Ext Cert Data Sheet'!$H$3:$H$997,0)),"")</f>
        <v>0</v>
      </c>
      <c r="G26" s="12"/>
      <c r="H26" t="str">
        <f>IFERROR(IF(G26="","",VLOOKUP(G26,Points!$A$2:$B$6,2,FALSE)),"")</f>
        <v/>
      </c>
      <c r="I26" s="1" t="str">
        <f t="shared" si="1"/>
        <v/>
      </c>
    </row>
    <row r="27" spans="2:9" hidden="1" x14ac:dyDescent="0.25">
      <c r="B27" t="s">
        <v>4</v>
      </c>
      <c r="C27" s="1">
        <f t="array" ref="C27">IFERROR(INDEX('Ext Cert Data Sheet'!$L$3:$L$997,MATCH('Ext Cert'!E27&amp;$E$3,'Ext Cert Data Sheet'!$G$3:$G$997&amp;'Ext Cert Data Sheet'!$H$3:$H$997,0)),"")</f>
        <v>0</v>
      </c>
      <c r="D27" s="1">
        <f t="array" ref="D27">IFERROR(INDEX('Ext Cert Data Sheet'!$I$3:$I$997,MATCH('Ext Cert'!E27&amp;$E$3,'Ext Cert Data Sheet'!$G$3:$G$997&amp;'Ext Cert Data Sheet'!$H$3:$H$997,0)),"")</f>
        <v>0</v>
      </c>
      <c r="E27" s="13"/>
      <c r="F27" s="1">
        <f t="array" ref="F27">IFERROR(INDEX('Ext Cert Data Sheet'!$K$3:$K$997,MATCH('Ext Cert'!E27&amp;$E$3,'Ext Cert Data Sheet'!$G$3:$G$997&amp;'Ext Cert Data Sheet'!$H$3:$H$997,0)),"")</f>
        <v>0</v>
      </c>
      <c r="G27" s="12"/>
      <c r="H27" t="str">
        <f>IFERROR(IF(G27="","",VLOOKUP(G27,Points!$A$2:$B$6,2,FALSE)),"")</f>
        <v/>
      </c>
      <c r="I27" s="1" t="str">
        <f t="shared" si="1"/>
        <v/>
      </c>
    </row>
    <row r="28" spans="2:9" hidden="1" x14ac:dyDescent="0.25">
      <c r="B28" t="s">
        <v>4</v>
      </c>
      <c r="C28" s="1">
        <f t="array" ref="C28">IFERROR(INDEX('Ext Cert Data Sheet'!$L$3:$L$997,MATCH('Ext Cert'!E28&amp;$E$3,'Ext Cert Data Sheet'!$G$3:$G$997&amp;'Ext Cert Data Sheet'!$H$3:$H$997,0)),"")</f>
        <v>0</v>
      </c>
      <c r="D28" s="1">
        <f t="array" ref="D28">IFERROR(INDEX('Ext Cert Data Sheet'!$I$3:$I$997,MATCH('Ext Cert'!E28&amp;$E$3,'Ext Cert Data Sheet'!$G$3:$G$997&amp;'Ext Cert Data Sheet'!$H$3:$H$997,0)),"")</f>
        <v>0</v>
      </c>
      <c r="E28" s="13"/>
      <c r="F28" s="1">
        <f t="array" ref="F28">IFERROR(INDEX('Ext Cert Data Sheet'!$K$3:$K$997,MATCH('Ext Cert'!E28&amp;$E$3,'Ext Cert Data Sheet'!$G$3:$G$997&amp;'Ext Cert Data Sheet'!$H$3:$H$997,0)),"")</f>
        <v>0</v>
      </c>
      <c r="G28" s="15"/>
      <c r="H28" t="str">
        <f>IFERROR(IF(G28="","",VLOOKUP(G28,Points!$A$2:$B$6,2,FALSE)),"")</f>
        <v/>
      </c>
      <c r="I28" s="1" t="str">
        <f t="shared" si="1"/>
        <v/>
      </c>
    </row>
    <row r="29" spans="2:9" hidden="1" x14ac:dyDescent="0.25">
      <c r="B29" t="s">
        <v>4</v>
      </c>
      <c r="C29" s="1">
        <f t="array" ref="C29">IFERROR(INDEX('Ext Cert Data Sheet'!$L$3:$L$997,MATCH('Ext Cert'!E29&amp;$E$3,'Ext Cert Data Sheet'!$G$3:$G$997&amp;'Ext Cert Data Sheet'!$H$3:$H$997,0)),"")</f>
        <v>0</v>
      </c>
      <c r="D29" s="1">
        <f t="array" ref="D29">IFERROR(INDEX('Ext Cert Data Sheet'!$I$3:$I$997,MATCH('Ext Cert'!E29&amp;$E$3,'Ext Cert Data Sheet'!$G$3:$G$997&amp;'Ext Cert Data Sheet'!$H$3:$H$997,0)),"")</f>
        <v>0</v>
      </c>
      <c r="E29" s="13"/>
      <c r="F29" s="1">
        <f t="array" ref="F29">IFERROR(INDEX('Ext Cert Data Sheet'!$K$3:$K$997,MATCH('Ext Cert'!E29&amp;$E$3,'Ext Cert Data Sheet'!$G$3:$G$997&amp;'Ext Cert Data Sheet'!$H$3:$H$997,0)),"")</f>
        <v>0</v>
      </c>
      <c r="G29" s="15"/>
      <c r="H29" t="str">
        <f>IFERROR(IF(G29="","",VLOOKUP(G29,Points!$A$2:$B$6,2,FALSE)),"")</f>
        <v/>
      </c>
      <c r="I29" s="1" t="str">
        <f t="shared" si="1"/>
        <v/>
      </c>
    </row>
    <row r="30" spans="2:9" x14ac:dyDescent="0.25">
      <c r="E30" s="14"/>
      <c r="F30" s="10">
        <f>SUM(F20:F29)</f>
        <v>0</v>
      </c>
      <c r="G30" s="14"/>
      <c r="I30" s="1"/>
    </row>
    <row r="31" spans="2:9" ht="15.75" hidden="1" x14ac:dyDescent="0.25">
      <c r="B31" s="16" t="s">
        <v>579</v>
      </c>
      <c r="E31" s="14"/>
      <c r="F31" s="1"/>
      <c r="G31" s="14"/>
      <c r="I31" s="1"/>
    </row>
    <row r="32" spans="2:9" x14ac:dyDescent="0.25">
      <c r="B32" t="s">
        <v>4</v>
      </c>
      <c r="C32" s="1">
        <f t="array" ref="C32">IFERROR(INDEX('Ext Cert Data Sheet'!$S$3:$S$997,MATCH('Ext Cert'!E32&amp;$E$3,'Ext Cert Data Sheet'!$N$3:$N$997&amp;'Ext Cert Data Sheet'!$O$3:$O$997,0)),"")</f>
        <v>0</v>
      </c>
      <c r="D32" s="1">
        <f t="array" ref="D32">IFERROR(INDEX('Ext Cert Data Sheet'!$P$3:$P$997,MATCH('Ext Cert'!E32&amp;$E$3,'Ext Cert Data Sheet'!$N$3:$N$997&amp;'Ext Cert Data Sheet'!$O$3:$O$997,0)),"")</f>
        <v>0</v>
      </c>
      <c r="E32" s="13"/>
      <c r="F32" s="1">
        <f t="array" ref="F32">IFERROR(INDEX('Ext Cert Data Sheet'!$R$3:$R$997,MATCH('Ext Cert'!E32&amp;$E$3,'Ext Cert Data Sheet'!$N$3:$N$997&amp;'Ext Cert Data Sheet'!$O$3:$O$997,0)),"")</f>
        <v>0</v>
      </c>
      <c r="G32" s="12"/>
      <c r="H32" t="str">
        <f>IFERROR(IF(G32="","",VLOOKUP(G32,Points!$A$2:$B$6,2,FALSE)),"")</f>
        <v/>
      </c>
      <c r="I32" s="1" t="str">
        <f t="shared" ref="I32:I41" si="2">IFERROR(SUM(H32*(F32/10)),"")</f>
        <v/>
      </c>
    </row>
    <row r="33" spans="2:9" x14ac:dyDescent="0.25">
      <c r="B33" t="s">
        <v>4</v>
      </c>
      <c r="C33" s="1">
        <f t="array" ref="C33">IFERROR(INDEX('Ext Cert Data Sheet'!$S$3:$S$997,MATCH('Ext Cert'!E33&amp;$E$3,'Ext Cert Data Sheet'!$N$3:$N$997&amp;'Ext Cert Data Sheet'!$O$3:$O$997,0)),"")</f>
        <v>0</v>
      </c>
      <c r="D33" s="1">
        <f t="array" ref="D33">IFERROR(INDEX('Ext Cert Data Sheet'!$P$3:$P$997,MATCH('Ext Cert'!E33&amp;$E$3,'Ext Cert Data Sheet'!$N$3:$N$997&amp;'Ext Cert Data Sheet'!$O$3:$O$997,0)),"")</f>
        <v>0</v>
      </c>
      <c r="E33" s="13"/>
      <c r="F33" s="1">
        <f t="array" ref="F33">IFERROR(INDEX('Ext Cert Data Sheet'!$R$3:$R$997,MATCH('Ext Cert'!E33&amp;$E$3,'Ext Cert Data Sheet'!$N$3:$N$997&amp;'Ext Cert Data Sheet'!$O$3:$O$997,0)),"")</f>
        <v>0</v>
      </c>
      <c r="G33" s="12"/>
      <c r="H33" t="str">
        <f>IFERROR(IF(G33="","",VLOOKUP(G33,Points!$A$2:$B$6,2,FALSE)),"")</f>
        <v/>
      </c>
      <c r="I33" s="1" t="str">
        <f t="shared" si="2"/>
        <v/>
      </c>
    </row>
    <row r="34" spans="2:9" x14ac:dyDescent="0.25">
      <c r="B34" t="s">
        <v>4</v>
      </c>
      <c r="C34" s="1">
        <f t="array" ref="C34">IFERROR(INDEX('Ext Cert Data Sheet'!$S$3:$S$997,MATCH('Ext Cert'!E34&amp;$E$3,'Ext Cert Data Sheet'!$N$3:$N$997&amp;'Ext Cert Data Sheet'!$O$3:$O$997,0)),"")</f>
        <v>0</v>
      </c>
      <c r="D34" s="1">
        <f t="array" ref="D34">IFERROR(INDEX('Ext Cert Data Sheet'!$P$3:$P$997,MATCH('Ext Cert'!E34&amp;$E$3,'Ext Cert Data Sheet'!$N$3:$N$997&amp;'Ext Cert Data Sheet'!$O$3:$O$997,0)),"")</f>
        <v>0</v>
      </c>
      <c r="E34" s="13"/>
      <c r="F34" s="1">
        <f t="array" ref="F34">IFERROR(INDEX('Ext Cert Data Sheet'!$R$3:$R$997,MATCH('Ext Cert'!E34&amp;$E$3,'Ext Cert Data Sheet'!$N$3:$N$997&amp;'Ext Cert Data Sheet'!$O$3:$O$997,0)),"")</f>
        <v>0</v>
      </c>
      <c r="G34" s="12"/>
      <c r="H34" t="str">
        <f>IFERROR(IF(G34="","",VLOOKUP(G34,Points!$A$2:$B$6,2,FALSE)),"")</f>
        <v/>
      </c>
      <c r="I34" s="1" t="str">
        <f t="shared" si="2"/>
        <v/>
      </c>
    </row>
    <row r="35" spans="2:9" x14ac:dyDescent="0.25">
      <c r="B35" t="s">
        <v>4</v>
      </c>
      <c r="C35" s="1">
        <f t="array" ref="C35">IFERROR(INDEX('Ext Cert Data Sheet'!$S$3:$S$997,MATCH('Ext Cert'!E35&amp;$E$3,'Ext Cert Data Sheet'!$N$3:$N$997&amp;'Ext Cert Data Sheet'!$O$3:$O$997,0)),"")</f>
        <v>0</v>
      </c>
      <c r="D35" s="1">
        <f t="array" ref="D35">IFERROR(INDEX('Ext Cert Data Sheet'!$P$3:$P$997,MATCH('Ext Cert'!E35&amp;$E$3,'Ext Cert Data Sheet'!$N$3:$N$997&amp;'Ext Cert Data Sheet'!$O$3:$O$997,0)),"")</f>
        <v>0</v>
      </c>
      <c r="E35" s="13"/>
      <c r="F35" s="1">
        <f t="array" ref="F35">IFERROR(INDEX('Ext Cert Data Sheet'!$R$3:$R$997,MATCH('Ext Cert'!E35&amp;$E$3,'Ext Cert Data Sheet'!$N$3:$N$997&amp;'Ext Cert Data Sheet'!$O$3:$O$997,0)),"")</f>
        <v>0</v>
      </c>
      <c r="G35" s="12"/>
      <c r="H35" t="str">
        <f>IFERROR(IF(G35="","",VLOOKUP(G35,Points!$A$2:$B$6,2,FALSE)),"")</f>
        <v/>
      </c>
      <c r="I35" s="1" t="str">
        <f t="shared" si="2"/>
        <v/>
      </c>
    </row>
    <row r="36" spans="2:9" x14ac:dyDescent="0.25">
      <c r="B36" t="s">
        <v>4</v>
      </c>
      <c r="C36" s="1">
        <f t="array" ref="C36">IFERROR(INDEX('Ext Cert Data Sheet'!$S$3:$S$997,MATCH('Ext Cert'!E36&amp;$E$3,'Ext Cert Data Sheet'!$N$3:$N$997&amp;'Ext Cert Data Sheet'!$O$3:$O$997,0)),"")</f>
        <v>0</v>
      </c>
      <c r="D36" s="1">
        <f t="array" ref="D36">IFERROR(INDEX('Ext Cert Data Sheet'!$P$3:$P$997,MATCH('Ext Cert'!E36&amp;$E$3,'Ext Cert Data Sheet'!$N$3:$N$997&amp;'Ext Cert Data Sheet'!$O$3:$O$997,0)),"")</f>
        <v>0</v>
      </c>
      <c r="E36" s="13"/>
      <c r="F36" s="1">
        <f t="array" ref="F36">IFERROR(INDEX('Ext Cert Data Sheet'!$R$3:$R$997,MATCH('Ext Cert'!E36&amp;$E$3,'Ext Cert Data Sheet'!$N$3:$N$997&amp;'Ext Cert Data Sheet'!$O$3:$O$997,0)),"")</f>
        <v>0</v>
      </c>
      <c r="G36" s="12"/>
      <c r="H36" t="str">
        <f>IFERROR(IF(G36="","",VLOOKUP(G36,Points!$A$2:$B$6,2,FALSE)),"")</f>
        <v/>
      </c>
      <c r="I36" s="1" t="str">
        <f t="shared" si="2"/>
        <v/>
      </c>
    </row>
    <row r="37" spans="2:9" hidden="1" x14ac:dyDescent="0.25">
      <c r="B37" t="s">
        <v>4</v>
      </c>
      <c r="C37" s="1">
        <f t="array" ref="C37">IFERROR(INDEX('Ext Cert Data Sheet'!$S$3:$S$997,MATCH('Ext Cert'!E37&amp;$E$3,'Ext Cert Data Sheet'!$N$3:$N$997&amp;'Ext Cert Data Sheet'!$O$3:$O$997,0)),"")</f>
        <v>0</v>
      </c>
      <c r="D37" s="1">
        <f t="array" ref="D37">IFERROR(INDEX('Ext Cert Data Sheet'!$P$3:$P$997,MATCH('Ext Cert'!E37&amp;$E$3,'Ext Cert Data Sheet'!$N$3:$N$997&amp;'Ext Cert Data Sheet'!$O$3:$O$997,0)),"")</f>
        <v>0</v>
      </c>
      <c r="E37" s="13"/>
      <c r="F37" s="1">
        <f t="array" ref="F37">IFERROR(INDEX('Ext Cert Data Sheet'!$R$3:$R$997,MATCH('Ext Cert'!E37&amp;$E$3,'Ext Cert Data Sheet'!$N$3:$N$997&amp;'Ext Cert Data Sheet'!$O$3:$O$997,0)),"")</f>
        <v>0</v>
      </c>
      <c r="G37" s="12"/>
      <c r="H37" t="str">
        <f>IFERROR(IF(G37="","",VLOOKUP(G37,Points!$A$2:$B$6,2,FALSE)),"")</f>
        <v/>
      </c>
      <c r="I37" s="1" t="str">
        <f t="shared" si="2"/>
        <v/>
      </c>
    </row>
    <row r="38" spans="2:9" hidden="1" x14ac:dyDescent="0.25">
      <c r="B38" t="s">
        <v>4</v>
      </c>
      <c r="C38" s="1">
        <f t="array" ref="C38">IFERROR(INDEX('Ext Cert Data Sheet'!$S$3:$S$997,MATCH('Ext Cert'!E38&amp;$E$3,'Ext Cert Data Sheet'!$N$3:$N$997&amp;'Ext Cert Data Sheet'!$O$3:$O$997,0)),"")</f>
        <v>0</v>
      </c>
      <c r="D38" s="1">
        <f t="array" ref="D38">IFERROR(INDEX('Ext Cert Data Sheet'!$P$3:$P$997,MATCH('Ext Cert'!E38&amp;$E$3,'Ext Cert Data Sheet'!$N$3:$N$997&amp;'Ext Cert Data Sheet'!$O$3:$O$997,0)),"")</f>
        <v>0</v>
      </c>
      <c r="E38" s="13"/>
      <c r="F38" s="1">
        <f t="array" ref="F38">IFERROR(INDEX('Ext Cert Data Sheet'!$R$3:$R$997,MATCH('Ext Cert'!E38&amp;$E$3,'Ext Cert Data Sheet'!$N$3:$N$997&amp;'Ext Cert Data Sheet'!$O$3:$O$997,0)),"")</f>
        <v>0</v>
      </c>
      <c r="G38" s="12"/>
      <c r="H38" t="str">
        <f>IFERROR(IF(G38="","",VLOOKUP(G38,Points!$A$2:$B$6,2,FALSE)),"")</f>
        <v/>
      </c>
      <c r="I38" s="1" t="str">
        <f t="shared" si="2"/>
        <v/>
      </c>
    </row>
    <row r="39" spans="2:9" hidden="1" x14ac:dyDescent="0.25">
      <c r="B39" t="s">
        <v>4</v>
      </c>
      <c r="C39" s="1">
        <f t="array" ref="C39">IFERROR(INDEX('Ext Cert Data Sheet'!$S$3:$S$997,MATCH('Ext Cert'!E39&amp;$E$3,'Ext Cert Data Sheet'!$N$3:$N$997&amp;'Ext Cert Data Sheet'!$O$3:$O$997,0)),"")</f>
        <v>0</v>
      </c>
      <c r="D39" s="1">
        <f t="array" ref="D39">IFERROR(INDEX('Ext Cert Data Sheet'!$P$3:$P$997,MATCH('Ext Cert'!E39&amp;$E$3,'Ext Cert Data Sheet'!$N$3:$N$997&amp;'Ext Cert Data Sheet'!$O$3:$O$997,0)),"")</f>
        <v>0</v>
      </c>
      <c r="E39" s="13"/>
      <c r="F39" s="1">
        <f t="array" ref="F39">IFERROR(INDEX('Ext Cert Data Sheet'!$R$3:$R$997,MATCH('Ext Cert'!E39&amp;$E$3,'Ext Cert Data Sheet'!$N$3:$N$997&amp;'Ext Cert Data Sheet'!$O$3:$O$997,0)),"")</f>
        <v>0</v>
      </c>
      <c r="G39" s="12"/>
      <c r="H39" t="str">
        <f>IFERROR(IF(G39="","",VLOOKUP(G39,Points!$A$2:$B$6,2,FALSE)),"")</f>
        <v/>
      </c>
      <c r="I39" s="1" t="str">
        <f t="shared" si="2"/>
        <v/>
      </c>
    </row>
    <row r="40" spans="2:9" hidden="1" x14ac:dyDescent="0.25">
      <c r="B40" t="s">
        <v>4</v>
      </c>
      <c r="C40" s="1">
        <f t="array" ref="C40">IFERROR(INDEX('Ext Cert Data Sheet'!$S$3:$S$997,MATCH('Ext Cert'!E40&amp;$E$3,'Ext Cert Data Sheet'!$N$3:$N$997&amp;'Ext Cert Data Sheet'!$O$3:$O$997,0)),"")</f>
        <v>0</v>
      </c>
      <c r="D40" s="1">
        <f t="array" ref="D40">IFERROR(INDEX('Ext Cert Data Sheet'!$P$3:$P$997,MATCH('Ext Cert'!E40&amp;$E$3,'Ext Cert Data Sheet'!$N$3:$N$997&amp;'Ext Cert Data Sheet'!$O$3:$O$997,0)),"")</f>
        <v>0</v>
      </c>
      <c r="E40" s="13"/>
      <c r="F40" s="1">
        <f t="array" ref="F40">IFERROR(INDEX('Ext Cert Data Sheet'!$R$3:$R$997,MATCH('Ext Cert'!E40&amp;$E$3,'Ext Cert Data Sheet'!$N$3:$N$997&amp;'Ext Cert Data Sheet'!$O$3:$O$997,0)),"")</f>
        <v>0</v>
      </c>
      <c r="G40" s="12"/>
      <c r="H40" t="str">
        <f>IFERROR(IF(G40="","",VLOOKUP(G40,Points!$A$2:$B$6,2,FALSE)),"")</f>
        <v/>
      </c>
      <c r="I40" s="1" t="str">
        <f t="shared" si="2"/>
        <v/>
      </c>
    </row>
    <row r="41" spans="2:9" hidden="1" x14ac:dyDescent="0.25">
      <c r="B41" t="s">
        <v>4</v>
      </c>
      <c r="C41" s="1">
        <f t="array" ref="C41">IFERROR(INDEX('Ext Cert Data Sheet'!$S$3:$S$997,MATCH('Ext Cert'!E41&amp;$E$3,'Ext Cert Data Sheet'!$N$3:$N$997&amp;'Ext Cert Data Sheet'!$O$3:$O$997,0)),"")</f>
        <v>0</v>
      </c>
      <c r="D41" s="1">
        <f t="array" ref="D41">IFERROR(INDEX('Ext Cert Data Sheet'!$P$3:$P$997,MATCH('Ext Cert'!E41&amp;$E$3,'Ext Cert Data Sheet'!$N$3:$N$997&amp;'Ext Cert Data Sheet'!$O$3:$O$997,0)),"")</f>
        <v>0</v>
      </c>
      <c r="E41" s="13"/>
      <c r="F41" s="1">
        <f t="array" ref="F41">IFERROR(INDEX('Ext Cert Data Sheet'!$R$3:$R$997,MATCH('Ext Cert'!E41&amp;$E$3,'Ext Cert Data Sheet'!$N$3:$N$997&amp;'Ext Cert Data Sheet'!$O$3:$O$997,0)),"")</f>
        <v>0</v>
      </c>
      <c r="G41" s="12"/>
      <c r="H41" t="str">
        <f>IFERROR(IF(G41="","",VLOOKUP(G41,Points!$A$2:$B$6,2,FALSE)),"")</f>
        <v/>
      </c>
      <c r="I41" s="1" t="str">
        <f t="shared" si="2"/>
        <v/>
      </c>
    </row>
    <row r="42" spans="2:9" hidden="1" x14ac:dyDescent="0.25">
      <c r="F42" s="10">
        <f>SUM(F32:F41)</f>
        <v>0</v>
      </c>
    </row>
    <row r="43" spans="2:9" ht="18.75" x14ac:dyDescent="0.25">
      <c r="F43" s="21">
        <f>SUM(F18+F30+F42)</f>
        <v>0</v>
      </c>
      <c r="G43" s="4" t="s">
        <v>105</v>
      </c>
      <c r="H43" s="5"/>
      <c r="I43" s="4" t="str">
        <f>IFERROR(IF($I$44="","",VLOOKUP($I$44,Points!$K$2:$L$10,2,TRUE)),"")</f>
        <v>U</v>
      </c>
    </row>
    <row r="44" spans="2:9" ht="15.75" x14ac:dyDescent="0.25">
      <c r="G44" s="6" t="s">
        <v>2</v>
      </c>
      <c r="H44" s="7"/>
      <c r="I44" s="6">
        <f>SUM(I8:I41)</f>
        <v>0</v>
      </c>
    </row>
  </sheetData>
  <sheetProtection password="85BF" sheet="1" objects="1" scenarios="1" formatCells="0" formatColumns="0" formatRows="0" selectLockedCells="1"/>
  <dataValidations count="4">
    <dataValidation type="list" allowBlank="1" showInputMessage="1" showErrorMessage="1" sqref="E32:E41">
      <formula1>OFFSET(INDIRECT(SUBSTITUTE($E$3," ","_")&amp;"_EC"&amp;"_units"&amp;"_Group_B"),0,0,COUNT(INDIRECT(SUBSTITUTE($E$3," ","_")&amp;"_EC"&amp;"_col"&amp;"_Group_B")),1)</formula1>
    </dataValidation>
    <dataValidation type="list" allowBlank="1" showInputMessage="1" showErrorMessage="1" sqref="G8:G17 G20:G29 G32:G41">
      <formula1>UnitGrade</formula1>
    </dataValidation>
    <dataValidation type="list" allowBlank="1" showInputMessage="1" showErrorMessage="1" sqref="E3">
      <formula1>ExtCertSector</formula1>
    </dataValidation>
    <dataValidation type="list" allowBlank="1" showInputMessage="1" showErrorMessage="1" sqref="E20:E29">
      <formula1>OFFSET(INDIRECT(SUBSTITUTE($E$3," ","_")&amp;"_EC"&amp;"_units"&amp;"_Group_A"),0,0,COUNT(INDIRECT(SUBSTITUTE($E$3," ","_")&amp;"_EC"&amp;"_col"&amp;"_Group_A")),1)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44"/>
  <sheetViews>
    <sheetView showGridLines="0" workbookViewId="0">
      <selection activeCell="E3" sqref="E3"/>
    </sheetView>
  </sheetViews>
  <sheetFormatPr defaultRowHeight="15" x14ac:dyDescent="0.25"/>
  <cols>
    <col min="1" max="2" width="10.5703125" bestFit="1" customWidth="1"/>
    <col min="3" max="3" width="17.7109375" bestFit="1" customWidth="1"/>
    <col min="4" max="4" width="13.85546875" bestFit="1" customWidth="1"/>
    <col min="5" max="5" width="83.5703125" bestFit="1" customWidth="1"/>
    <col min="7" max="7" width="17.140625" bestFit="1" customWidth="1"/>
    <col min="8" max="8" width="6.28515625" hidden="1" customWidth="1"/>
    <col min="9" max="9" width="9.28515625" bestFit="1" customWidth="1"/>
  </cols>
  <sheetData>
    <row r="1" spans="2:9" ht="84.75" customHeight="1" x14ac:dyDescent="0.25"/>
    <row r="3" spans="2:9" ht="18.75" x14ac:dyDescent="0.25">
      <c r="E3" s="11"/>
    </row>
    <row r="7" spans="2:9" ht="15.75" x14ac:dyDescent="0.25">
      <c r="C7" s="2" t="s">
        <v>5</v>
      </c>
      <c r="D7" s="2" t="s">
        <v>6</v>
      </c>
      <c r="E7" s="2" t="s">
        <v>7</v>
      </c>
      <c r="F7" s="2" t="s">
        <v>0</v>
      </c>
      <c r="G7" s="2" t="s">
        <v>1</v>
      </c>
      <c r="H7" s="2"/>
      <c r="I7" s="2" t="s">
        <v>2</v>
      </c>
    </row>
    <row r="8" spans="2:9" hidden="1" x14ac:dyDescent="0.25">
      <c r="B8" t="s">
        <v>3</v>
      </c>
      <c r="C8" s="1">
        <f t="array" ref="C8">IFERROR(INDEX('Diploma Data Sheet'!$A$3:$E$998,SMALL(IF('Diploma Data Sheet'!$A$3:$A$998=$E$3,ROW('Diploma Data Sheet'!$A$3:$A$998)),ROW(1:1))-2,5),"")</f>
        <v>0</v>
      </c>
      <c r="D8" s="1">
        <f t="array" ref="D8">IFERROR(INDEX('Diploma Data Sheet'!$A$3:$E$998,SMALL(IF('Diploma Data Sheet'!$A$3:$A$998=$E$3,ROW('Diploma Data Sheet'!$A$3:$A$998)),ROW(1:1))-2,2),"")</f>
        <v>0</v>
      </c>
      <c r="E8">
        <f t="array" ref="E8">IFERROR(INDEX('Diploma Data Sheet'!$A$3:$E$998,SMALL(IF('Diploma Data Sheet'!$A$3:$A$998=$E$3,ROW('Diploma Data Sheet'!$A$3:$A$998)),ROW(1:1))-2,3),"")</f>
        <v>0</v>
      </c>
      <c r="F8" s="1">
        <f t="array" ref="F8">IFERROR(INDEX('Diploma Data Sheet'!$A$3:$E$998,SMALL(IF('Diploma Data Sheet'!$A$3:$A$998=$E$3,ROW('Diploma Data Sheet'!$A$3:$A$998)),ROW(1:1))-2,4),"")</f>
        <v>0</v>
      </c>
      <c r="G8" s="12"/>
      <c r="H8" t="str">
        <f>IFERROR(IF(G8="","",VLOOKUP(G8,Points!$A$2:$B$6,2,FALSE)),"")</f>
        <v/>
      </c>
      <c r="I8" s="1" t="str">
        <f>IFERROR(SUM(H8*(F8/10)),"")</f>
        <v/>
      </c>
    </row>
    <row r="9" spans="2:9" hidden="1" x14ac:dyDescent="0.25">
      <c r="B9" t="s">
        <v>3</v>
      </c>
      <c r="C9" s="1">
        <f t="array" ref="C9">IFERROR(INDEX('Diploma Data Sheet'!$A$3:$E$998,SMALL(IF('Diploma Data Sheet'!$A$3:$A$998=$E$3,ROW('Diploma Data Sheet'!$A$3:$A$998)),ROW(2:2))-2,5),"")</f>
        <v>0</v>
      </c>
      <c r="D9" s="1">
        <f t="array" ref="D9">IFERROR(INDEX('Diploma Data Sheet'!$A$3:$E$998,SMALL(IF('Diploma Data Sheet'!$A$3:$A$998=$E$3,ROW('Diploma Data Sheet'!$A$3:$A$998)),ROW(2:2))-2,2),"")</f>
        <v>0</v>
      </c>
      <c r="E9">
        <f t="array" ref="E9">IFERROR(INDEX('Diploma Data Sheet'!$A$3:$E$998,SMALL(IF('Diploma Data Sheet'!$A$3:$A$998=$E$3,ROW('Diploma Data Sheet'!$A$3:$A$998)),ROW(2:2))-2,3),"")</f>
        <v>0</v>
      </c>
      <c r="F9" s="1">
        <f t="array" ref="F9">IFERROR(INDEX('Diploma Data Sheet'!$A$3:$E$998,SMALL(IF('Diploma Data Sheet'!$A$3:$A$998=$E$3,ROW('Diploma Data Sheet'!$A$3:$A$998)),ROW(2:2))-2,4),"")</f>
        <v>0</v>
      </c>
      <c r="G9" s="12"/>
      <c r="H9" t="str">
        <f>IFERROR(IF(G9="","",VLOOKUP(G9,Points!$A$2:$B$6,2,FALSE)),"")</f>
        <v/>
      </c>
      <c r="I9" s="1" t="str">
        <f>IFERROR(SUM(H9*(F9/10)),"")</f>
        <v/>
      </c>
    </row>
    <row r="10" spans="2:9" hidden="1" x14ac:dyDescent="0.25">
      <c r="B10" t="s">
        <v>3</v>
      </c>
      <c r="C10" s="1">
        <f t="array" ref="C10">IFERROR(INDEX('Diploma Data Sheet'!$A$3:$E$998,SMALL(IF('Diploma Data Sheet'!$A$3:$A$998=$E$3,ROW('Diploma Data Sheet'!$A$3:$A$998)),ROW(3:3))-2,5),"")</f>
        <v>0</v>
      </c>
      <c r="D10" s="1">
        <f t="array" ref="D10">IFERROR(INDEX('Diploma Data Sheet'!$A$3:$E$998,SMALL(IF('Diploma Data Sheet'!$A$3:$A$998=$E$3,ROW('Diploma Data Sheet'!$A$3:$A$998)),ROW(3:3))-2,2),"")</f>
        <v>0</v>
      </c>
      <c r="E10">
        <f t="array" ref="E10">IFERROR(INDEX('Diploma Data Sheet'!$A$3:$E$998,SMALL(IF('Diploma Data Sheet'!$A$3:$A$998=$E$3,ROW('Diploma Data Sheet'!$A$3:$A$998)),ROW(3:3))-2,3),"")</f>
        <v>0</v>
      </c>
      <c r="F10" s="1">
        <f t="array" ref="F10">IFERROR(INDEX('Diploma Data Sheet'!$A$3:$E$998,SMALL(IF('Diploma Data Sheet'!$A$3:$A$998=$E$3,ROW('Diploma Data Sheet'!$A$3:$A$998)),ROW(3:3))-2,4),"")</f>
        <v>0</v>
      </c>
      <c r="G10" s="12"/>
      <c r="H10" t="str">
        <f>IFERROR(IF(G10="","",VLOOKUP(G10,Points!$A$2:$B$6,2,FALSE)),"")</f>
        <v/>
      </c>
      <c r="I10" s="1" t="str">
        <f t="shared" ref="I10:I41" si="0">IFERROR(SUM(H10*(F10/10)),"")</f>
        <v/>
      </c>
    </row>
    <row r="11" spans="2:9" hidden="1" x14ac:dyDescent="0.25">
      <c r="B11" t="s">
        <v>3</v>
      </c>
      <c r="C11" s="1">
        <f t="array" ref="C11">IFERROR(INDEX('Diploma Data Sheet'!$A$3:$E$998,SMALL(IF('Diploma Data Sheet'!$A$3:$A$998=$E$3,ROW('Diploma Data Sheet'!$A$3:$A$998)),ROW(4:4))-2,5),"")</f>
        <v>0</v>
      </c>
      <c r="D11" s="1">
        <f t="array" ref="D11">IFERROR(INDEX('Diploma Data Sheet'!$A$3:$E$998,SMALL(IF('Diploma Data Sheet'!$A$3:$A$998=$E$3,ROW('Diploma Data Sheet'!$A$3:$A$998)),ROW(4:4))-2,2),"")</f>
        <v>0</v>
      </c>
      <c r="E11">
        <f t="array" ref="E11">IFERROR(INDEX('Diploma Data Sheet'!$A$3:$E$998,SMALL(IF('Diploma Data Sheet'!$A$3:$A$998=$E$3,ROW('Diploma Data Sheet'!$A$3:$A$998)),ROW(4:4))-2,3),"")</f>
        <v>0</v>
      </c>
      <c r="F11" s="1">
        <f t="array" ref="F11">IFERROR(INDEX('Diploma Data Sheet'!$A$3:$E$998,SMALL(IF('Diploma Data Sheet'!$A$3:$A$998=$E$3,ROW('Diploma Data Sheet'!$A$3:$A$998)),ROW(4:4))-2,4),"")</f>
        <v>0</v>
      </c>
      <c r="G11" s="12"/>
      <c r="H11" t="str">
        <f>IFERROR(IF(G11="","",VLOOKUP(G11,Points!$A$2:$B$6,2,FALSE)),"")</f>
        <v/>
      </c>
      <c r="I11" s="1" t="str">
        <f t="shared" si="0"/>
        <v/>
      </c>
    </row>
    <row r="12" spans="2:9" hidden="1" x14ac:dyDescent="0.25">
      <c r="B12" t="s">
        <v>3</v>
      </c>
      <c r="C12" s="1">
        <f t="array" ref="C12">IFERROR(INDEX('Diploma Data Sheet'!$A$3:$E$998,SMALL(IF('Diploma Data Sheet'!$A$3:$A$998=$E$3,ROW('Diploma Data Sheet'!$A$3:$A$998)),ROW(5:5))-2,5),"")</f>
        <v>0</v>
      </c>
      <c r="D12" s="1">
        <f t="array" ref="D12">IFERROR(INDEX('Diploma Data Sheet'!$A$3:$E$998,SMALL(IF('Diploma Data Sheet'!$A$3:$A$998=$E$3,ROW('Diploma Data Sheet'!$A$3:$A$998)),ROW(5:5))-2,2),"")</f>
        <v>0</v>
      </c>
      <c r="E12">
        <f t="array" ref="E12">IFERROR(INDEX('Diploma Data Sheet'!$A$3:$E$998,SMALL(IF('Diploma Data Sheet'!$A$3:$A$998=$E$3,ROW('Diploma Data Sheet'!$A$3:$A$998)),ROW(5:5))-2,3),"")</f>
        <v>0</v>
      </c>
      <c r="F12" s="1">
        <f t="array" ref="F12">IFERROR(INDEX('Diploma Data Sheet'!$A$3:$E$998,SMALL(IF('Diploma Data Sheet'!$A$3:$A$998=$E$3,ROW('Diploma Data Sheet'!$A$3:$A$998)),ROW(5:5))-2,4),"")</f>
        <v>0</v>
      </c>
      <c r="G12" s="12"/>
      <c r="H12" t="str">
        <f>IFERROR(IF(G12="","",VLOOKUP(G12,Points!$A$2:$B$6,2,FALSE)),"")</f>
        <v/>
      </c>
      <c r="I12" s="1" t="str">
        <f t="shared" si="0"/>
        <v/>
      </c>
    </row>
    <row r="13" spans="2:9" hidden="1" x14ac:dyDescent="0.25">
      <c r="B13" t="s">
        <v>3</v>
      </c>
      <c r="C13" s="1">
        <f t="array" ref="C13">IFERROR(INDEX('Diploma Data Sheet'!$A$3:$E$998,SMALL(IF('Diploma Data Sheet'!$A$3:$A$998=$E$3,ROW('Diploma Data Sheet'!$A$3:$A$998)),ROW(6:6))-2,5),"")</f>
        <v>0</v>
      </c>
      <c r="D13" s="1">
        <f t="array" ref="D13">IFERROR(INDEX('Diploma Data Sheet'!$A$3:$E$998,SMALL(IF('Diploma Data Sheet'!$A$3:$A$998=$E$3,ROW('Diploma Data Sheet'!$A$3:$A$998)),ROW(6:6))-2,2),"")</f>
        <v>0</v>
      </c>
      <c r="E13">
        <f t="array" ref="E13">IFERROR(INDEX('Diploma Data Sheet'!$A$3:$E$998,SMALL(IF('Diploma Data Sheet'!$A$3:$A$998=$E$3,ROW('Diploma Data Sheet'!$A$3:$A$998)),ROW(6:6))-2,3),"")</f>
        <v>0</v>
      </c>
      <c r="F13" s="1">
        <f t="array" ref="F13">IFERROR(INDEX('Diploma Data Sheet'!$A$3:$E$998,SMALL(IF('Diploma Data Sheet'!$A$3:$A$998=$E$3,ROW('Diploma Data Sheet'!$A$3:$A$998)),ROW(6:6))-2,4),"")</f>
        <v>0</v>
      </c>
      <c r="G13" s="12"/>
      <c r="H13" t="str">
        <f>IFERROR(IF(G13="","",VLOOKUP(G13,Points!$A$2:$B$6,2,FALSE)),"")</f>
        <v/>
      </c>
      <c r="I13" s="1" t="str">
        <f t="shared" si="0"/>
        <v/>
      </c>
    </row>
    <row r="14" spans="2:9" hidden="1" x14ac:dyDescent="0.25">
      <c r="B14" t="s">
        <v>3</v>
      </c>
      <c r="C14" s="1">
        <f t="array" ref="C14">IFERROR(INDEX('Diploma Data Sheet'!$A$3:$E$998,SMALL(IF('Diploma Data Sheet'!$A$3:$A$998=$E$3,ROW('Diploma Data Sheet'!$A$3:$A$998)),ROW(7:7))-2,5),"")</f>
        <v>0</v>
      </c>
      <c r="D14" s="1">
        <f t="array" ref="D14">IFERROR(INDEX('Diploma Data Sheet'!$A$3:$E$998,SMALL(IF('Diploma Data Sheet'!$A$3:$A$998=$E$3,ROW('Diploma Data Sheet'!$A$3:$A$998)),ROW(7:7))-2,2),"")</f>
        <v>0</v>
      </c>
      <c r="E14">
        <f t="array" ref="E14">IFERROR(INDEX('Diploma Data Sheet'!$A$3:$E$998,SMALL(IF('Diploma Data Sheet'!$A$3:$A$998=$E$3,ROW('Diploma Data Sheet'!$A$3:$A$998)),ROW(7:7))-2,3),"")</f>
        <v>0</v>
      </c>
      <c r="F14" s="1">
        <f t="array" ref="F14">IFERROR(INDEX('Diploma Data Sheet'!$A$3:$E$998,SMALL(IF('Diploma Data Sheet'!$A$3:$A$998=$E$3,ROW('Diploma Data Sheet'!$A$3:$A$998)),ROW(7:7))-2,4),"")</f>
        <v>0</v>
      </c>
      <c r="G14" s="12"/>
      <c r="H14" t="str">
        <f>IFERROR(IF(G14="","",VLOOKUP(G14,Points!$A$2:$B$6,2,FALSE)),"")</f>
        <v/>
      </c>
      <c r="I14" s="1" t="str">
        <f t="shared" si="0"/>
        <v/>
      </c>
    </row>
    <row r="15" spans="2:9" hidden="1" x14ac:dyDescent="0.25">
      <c r="B15" t="s">
        <v>3</v>
      </c>
      <c r="C15" s="1">
        <f t="array" ref="C15">IFERROR(INDEX('Diploma Data Sheet'!$A$3:$E$998,SMALL(IF('Diploma Data Sheet'!$A$3:$A$998=$E$3,ROW('Diploma Data Sheet'!$A$3:$A$998)),ROW(8:8))-2,5),"")</f>
        <v>0</v>
      </c>
      <c r="D15" s="1">
        <f t="array" ref="D15">IFERROR(INDEX('Diploma Data Sheet'!$A$3:$E$998,SMALL(IF('Diploma Data Sheet'!$A$3:$A$998=$E$3,ROW('Diploma Data Sheet'!$A$3:$A$998)),ROW(8:8))-2,2),"")</f>
        <v>0</v>
      </c>
      <c r="E15">
        <f t="array" ref="E15">IFERROR(INDEX('Diploma Data Sheet'!$A$3:$E$998,SMALL(IF('Diploma Data Sheet'!$A$3:$A$998=$E$3,ROW('Diploma Data Sheet'!$A$3:$A$998)),ROW(8:8))-2,3),"")</f>
        <v>0</v>
      </c>
      <c r="F15" s="1">
        <f t="array" ref="F15">IFERROR(INDEX('Diploma Data Sheet'!$A$3:$E$998,SMALL(IF('Diploma Data Sheet'!$A$3:$A$998=$E$3,ROW('Diploma Data Sheet'!$A$3:$A$998)),ROW(8:8))-2,4),"")</f>
        <v>0</v>
      </c>
      <c r="G15" s="12"/>
      <c r="H15" t="str">
        <f>IFERROR(IF(G15="","",VLOOKUP(G15,Points!$A$2:$B$6,2,FALSE)),"")</f>
        <v/>
      </c>
      <c r="I15" s="1" t="str">
        <f t="shared" si="0"/>
        <v/>
      </c>
    </row>
    <row r="16" spans="2:9" hidden="1" x14ac:dyDescent="0.25">
      <c r="B16" t="s">
        <v>3</v>
      </c>
      <c r="C16" s="1">
        <f t="array" ref="C16">IFERROR(INDEX('Diploma Data Sheet'!$A$3:$E$998,SMALL(IF('Diploma Data Sheet'!$A$3:$A$998=$E$3,ROW('Diploma Data Sheet'!$A$3:$A$998)),ROW(9:9))-2,5),"")</f>
        <v>0</v>
      </c>
      <c r="D16" s="1">
        <f t="array" ref="D16">IFERROR(INDEX('Diploma Data Sheet'!$A$3:$E$998,SMALL(IF('Diploma Data Sheet'!$A$3:$A$998=$E$3,ROW('Diploma Data Sheet'!$A$3:$A$998)),ROW(9:9))-2,2),"")</f>
        <v>0</v>
      </c>
      <c r="E16">
        <f t="array" ref="E16">IFERROR(INDEX('Diploma Data Sheet'!$A$3:$E$998,SMALL(IF('Diploma Data Sheet'!$A$3:$A$998=$E$3,ROW('Diploma Data Sheet'!$A$3:$A$998)),ROW(9:9))-2,3),"")</f>
        <v>0</v>
      </c>
      <c r="F16" s="1">
        <f t="array" ref="F16">IFERROR(INDEX('Diploma Data Sheet'!$A$3:$E$998,SMALL(IF('Diploma Data Sheet'!$A$3:$A$998=$E$3,ROW('Diploma Data Sheet'!$A$3:$A$998)),ROW(9:9))-2,4),"")</f>
        <v>0</v>
      </c>
      <c r="G16" s="12"/>
      <c r="H16" t="str">
        <f>IFERROR(IF(G16="","",VLOOKUP(G16,Points!$A$2:$B$6,2,FALSE)),"")</f>
        <v/>
      </c>
      <c r="I16" s="1" t="str">
        <f t="shared" si="0"/>
        <v/>
      </c>
    </row>
    <row r="17" spans="2:9" hidden="1" x14ac:dyDescent="0.25">
      <c r="B17" t="s">
        <v>3</v>
      </c>
      <c r="C17" s="1">
        <f t="array" ref="C17">IFERROR(INDEX('Diploma Data Sheet'!$A$3:$E$998,SMALL(IF('Diploma Data Sheet'!$A$3:$A$998=$E$3,ROW('Diploma Data Sheet'!$A$3:$A$998)),ROW(10:10))-2,5),"")</f>
        <v>0</v>
      </c>
      <c r="D17" s="1">
        <f t="array" ref="D17">IFERROR(INDEX('Diploma Data Sheet'!$A$3:$E$998,SMALL(IF('Diploma Data Sheet'!$A$3:$A$998=$E$3,ROW('Diploma Data Sheet'!$A$3:$A$998)),ROW(10:10))-2,2),"")</f>
        <v>0</v>
      </c>
      <c r="E17">
        <f t="array" ref="E17">IFERROR(INDEX('Diploma Data Sheet'!$A$3:$E$998,SMALL(IF('Diploma Data Sheet'!$A$3:$A$998=$E$3,ROW('Diploma Data Sheet'!$A$3:$A$998)),ROW(10:10))-2,3),"")</f>
        <v>0</v>
      </c>
      <c r="F17" s="1">
        <f t="array" ref="F17">IFERROR(INDEX('Diploma Data Sheet'!$A$3:$E$998,SMALL(IF('Diploma Data Sheet'!$A$3:$A$998=$E$3,ROW('Diploma Data Sheet'!$A$3:$A$998)),ROW(10:10))-2,4),"")</f>
        <v>0</v>
      </c>
      <c r="G17" s="12"/>
      <c r="H17" t="str">
        <f>IFERROR(IF(G17="","",VLOOKUP(G17,Points!$A$2:$B$6,2,FALSE)),"")</f>
        <v/>
      </c>
      <c r="I17" s="1" t="str">
        <f t="shared" si="0"/>
        <v/>
      </c>
    </row>
    <row r="18" spans="2:9" x14ac:dyDescent="0.25">
      <c r="C18" s="1"/>
      <c r="D18" s="1"/>
      <c r="F18" s="10">
        <f>SUM(F8:F17)</f>
        <v>0</v>
      </c>
      <c r="G18" s="17"/>
      <c r="I18" s="1"/>
    </row>
    <row r="19" spans="2:9" ht="15.75" x14ac:dyDescent="0.25">
      <c r="B19" s="16" t="s">
        <v>576</v>
      </c>
      <c r="C19" s="1"/>
      <c r="D19" s="1"/>
      <c r="F19" s="1"/>
      <c r="G19" s="17"/>
      <c r="I19" s="1"/>
    </row>
    <row r="20" spans="2:9" x14ac:dyDescent="0.25">
      <c r="B20" t="s">
        <v>4</v>
      </c>
      <c r="C20" s="1">
        <f t="array" ref="C20">IFERROR(INDEX('Diploma Data Sheet'!$L$3:$L$998,MATCH(Diploma!E20&amp;$E$3,'Diploma Data Sheet'!$G$3:$G$998&amp;'Diploma Data Sheet'!$H$3:$H$998,0)),"")</f>
        <v>0</v>
      </c>
      <c r="D20" s="1">
        <f t="array" ref="D20">IFERROR(INDEX('Diploma Data Sheet'!$I$3:$I$998,MATCH(Diploma!E20&amp;$E$3,'Diploma Data Sheet'!$G$3:$G$998&amp;'Diploma Data Sheet'!$H$3:$H$998,0)),"")</f>
        <v>0</v>
      </c>
      <c r="E20" s="13"/>
      <c r="F20" s="1">
        <f t="array" ref="F20">IFERROR(INDEX('Diploma Data Sheet'!$K$3:$K$998,MATCH(Diploma!E20&amp;$E$3,'Diploma Data Sheet'!$G$3:$G$998&amp;'Diploma Data Sheet'!$H$3:$H$998,0)),"")</f>
        <v>0</v>
      </c>
      <c r="G20" s="12"/>
      <c r="H20" t="str">
        <f>IFERROR(IF(G20="","",VLOOKUP(G20,Points!$A$2:$B$6,2,FALSE)),"")</f>
        <v/>
      </c>
      <c r="I20" s="1" t="str">
        <f t="shared" si="0"/>
        <v/>
      </c>
    </row>
    <row r="21" spans="2:9" x14ac:dyDescent="0.25">
      <c r="B21" t="s">
        <v>4</v>
      </c>
      <c r="C21" s="1">
        <f t="array" ref="C21">IFERROR(INDEX('Diploma Data Sheet'!$L$3:$L$998,MATCH(Diploma!E21&amp;$E$3,'Diploma Data Sheet'!$G$3:$G$998&amp;'Diploma Data Sheet'!$H$3:$H$998,0)),"")</f>
        <v>0</v>
      </c>
      <c r="D21" s="1">
        <f t="array" ref="D21">IFERROR(INDEX('Diploma Data Sheet'!$I$3:$I$998,MATCH(Diploma!E21&amp;$E$3,'Diploma Data Sheet'!$G$3:$G$998&amp;'Diploma Data Sheet'!$H$3:$H$998,0)),"")</f>
        <v>0</v>
      </c>
      <c r="E21" s="13"/>
      <c r="F21" s="1">
        <f t="array" ref="F21">IFERROR(INDEX('Diploma Data Sheet'!$K$3:$K$998,MATCH(Diploma!E21&amp;$E$3,'Diploma Data Sheet'!$G$3:$G$998&amp;'Diploma Data Sheet'!$H$3:$H$998,0)),"")</f>
        <v>0</v>
      </c>
      <c r="G21" s="12"/>
      <c r="H21" t="str">
        <f>IFERROR(IF(G21="","",VLOOKUP(G21,Points!$A$2:$B$6,2,FALSE)),"")</f>
        <v/>
      </c>
      <c r="I21" s="1" t="str">
        <f t="shared" si="0"/>
        <v/>
      </c>
    </row>
    <row r="22" spans="2:9" x14ac:dyDescent="0.25">
      <c r="B22" t="s">
        <v>4</v>
      </c>
      <c r="C22" s="1">
        <f t="array" ref="C22">IFERROR(INDEX('Diploma Data Sheet'!$L$3:$L$998,MATCH(Diploma!E22&amp;$E$3,'Diploma Data Sheet'!$G$3:$G$998&amp;'Diploma Data Sheet'!$H$3:$H$998,0)),"")</f>
        <v>0</v>
      </c>
      <c r="D22" s="1">
        <f t="array" ref="D22">IFERROR(INDEX('Diploma Data Sheet'!$I$3:$I$998,MATCH(Diploma!E22&amp;$E$3,'Diploma Data Sheet'!$G$3:$G$998&amp;'Diploma Data Sheet'!$H$3:$H$998,0)),"")</f>
        <v>0</v>
      </c>
      <c r="E22" s="13"/>
      <c r="F22" s="1">
        <f t="array" ref="F22">IFERROR(INDEX('Diploma Data Sheet'!$K$3:$K$998,MATCH(Diploma!E22&amp;$E$3,'Diploma Data Sheet'!$G$3:$G$998&amp;'Diploma Data Sheet'!$H$3:$H$998,0)),"")</f>
        <v>0</v>
      </c>
      <c r="G22" s="12"/>
      <c r="H22" t="str">
        <f>IFERROR(IF(G22="","",VLOOKUP(G22,Points!$A$2:$B$6,2,FALSE)),"")</f>
        <v/>
      </c>
      <c r="I22" s="1" t="str">
        <f t="shared" si="0"/>
        <v/>
      </c>
    </row>
    <row r="23" spans="2:9" x14ac:dyDescent="0.25">
      <c r="B23" t="s">
        <v>4</v>
      </c>
      <c r="C23" s="1">
        <f t="array" ref="C23">IFERROR(INDEX('Diploma Data Sheet'!$L$3:$L$998,MATCH(Diploma!E23&amp;$E$3,'Diploma Data Sheet'!$G$3:$G$998&amp;'Diploma Data Sheet'!$H$3:$H$998,0)),"")</f>
        <v>0</v>
      </c>
      <c r="D23" s="1">
        <f t="array" ref="D23">IFERROR(INDEX('Diploma Data Sheet'!$I$3:$I$998,MATCH(Diploma!E23&amp;$E$3,'Diploma Data Sheet'!$G$3:$G$998&amp;'Diploma Data Sheet'!$H$3:$H$998,0)),"")</f>
        <v>0</v>
      </c>
      <c r="E23" s="13"/>
      <c r="F23" s="1">
        <f t="array" ref="F23">IFERROR(INDEX('Diploma Data Sheet'!$K$3:$K$998,MATCH(Diploma!E23&amp;$E$3,'Diploma Data Sheet'!$G$3:$G$998&amp;'Diploma Data Sheet'!$H$3:$H$998,0)),"")</f>
        <v>0</v>
      </c>
      <c r="G23" s="12"/>
      <c r="H23" t="str">
        <f>IFERROR(IF(G23="","",VLOOKUP(G23,Points!$A$2:$B$6,2,FALSE)),"")</f>
        <v/>
      </c>
      <c r="I23" s="1" t="str">
        <f t="shared" si="0"/>
        <v/>
      </c>
    </row>
    <row r="24" spans="2:9" x14ac:dyDescent="0.25">
      <c r="B24" t="s">
        <v>4</v>
      </c>
      <c r="C24" s="1">
        <f t="array" ref="C24">IFERROR(INDEX('Diploma Data Sheet'!$L$3:$L$998,MATCH(Diploma!E24&amp;$E$3,'Diploma Data Sheet'!$G$3:$G$998&amp;'Diploma Data Sheet'!$H$3:$H$998,0)),"")</f>
        <v>0</v>
      </c>
      <c r="D24" s="1">
        <f t="array" ref="D24">IFERROR(INDEX('Diploma Data Sheet'!$I$3:$I$998,MATCH(Diploma!E24&amp;$E$3,'Diploma Data Sheet'!$G$3:$G$998&amp;'Diploma Data Sheet'!$H$3:$H$998,0)),"")</f>
        <v>0</v>
      </c>
      <c r="E24" s="13"/>
      <c r="F24" s="1">
        <f t="array" ref="F24">IFERROR(INDEX('Diploma Data Sheet'!$K$3:$K$998,MATCH(Diploma!E24&amp;$E$3,'Diploma Data Sheet'!$G$3:$G$998&amp;'Diploma Data Sheet'!$H$3:$H$998,0)),"")</f>
        <v>0</v>
      </c>
      <c r="G24" s="12"/>
      <c r="H24" t="str">
        <f>IFERROR(IF(G24="","",VLOOKUP(G24,Points!$A$2:$B$6,2,FALSE)),"")</f>
        <v/>
      </c>
      <c r="I24" s="1" t="str">
        <f t="shared" si="0"/>
        <v/>
      </c>
    </row>
    <row r="25" spans="2:9" x14ac:dyDescent="0.25">
      <c r="B25" t="s">
        <v>4</v>
      </c>
      <c r="C25" s="1">
        <f t="array" ref="C25">IFERROR(INDEX('Diploma Data Sheet'!$L$3:$L$998,MATCH(Diploma!E25&amp;$E$3,'Diploma Data Sheet'!$G$3:$G$998&amp;'Diploma Data Sheet'!$H$3:$H$998,0)),"")</f>
        <v>0</v>
      </c>
      <c r="D25" s="1">
        <f t="array" ref="D25">IFERROR(INDEX('Diploma Data Sheet'!$I$3:$I$998,MATCH(Diploma!E25&amp;$E$3,'Diploma Data Sheet'!$G$3:$G$998&amp;'Diploma Data Sheet'!$H$3:$H$998,0)),"")</f>
        <v>0</v>
      </c>
      <c r="E25" s="13"/>
      <c r="F25" s="1">
        <f t="array" ref="F25">IFERROR(INDEX('Diploma Data Sheet'!$K$3:$K$998,MATCH(Diploma!E25&amp;$E$3,'Diploma Data Sheet'!$G$3:$G$998&amp;'Diploma Data Sheet'!$H$3:$H$998,0)),"")</f>
        <v>0</v>
      </c>
      <c r="G25" s="12"/>
      <c r="H25" t="str">
        <f>IFERROR(IF(G25="","",VLOOKUP(G25,Points!$A$2:$B$6,2,FALSE)),"")</f>
        <v/>
      </c>
      <c r="I25" s="1" t="str">
        <f t="shared" si="0"/>
        <v/>
      </c>
    </row>
    <row r="26" spans="2:9" hidden="1" x14ac:dyDescent="0.25">
      <c r="B26" t="s">
        <v>4</v>
      </c>
      <c r="C26" s="1">
        <f t="array" ref="C26">IFERROR(INDEX('Diploma Data Sheet'!$L$3:$L$998,MATCH(Diploma!E26&amp;$E$3,'Diploma Data Sheet'!$G$3:$G$998&amp;'Diploma Data Sheet'!$H$3:$H$998,0)),"")</f>
        <v>0</v>
      </c>
      <c r="D26" s="1">
        <f t="array" ref="D26">IFERROR(INDEX('Diploma Data Sheet'!$I$3:$I$998,MATCH(Diploma!E26&amp;$E$3,'Diploma Data Sheet'!$G$3:$G$998&amp;'Diploma Data Sheet'!$H$3:$H$998,0)),"")</f>
        <v>0</v>
      </c>
      <c r="E26" s="13"/>
      <c r="F26" s="1">
        <f t="array" ref="F26">IFERROR(INDEX('Diploma Data Sheet'!$K$3:$K$998,MATCH(Diploma!E26&amp;$E$3,'Diploma Data Sheet'!$G$3:$G$998&amp;'Diploma Data Sheet'!$H$3:$H$998,0)),"")</f>
        <v>0</v>
      </c>
      <c r="G26" s="12"/>
      <c r="H26" t="str">
        <f>IFERROR(IF(G26="","",VLOOKUP(G26,Points!$A$2:$B$6,2,FALSE)),"")</f>
        <v/>
      </c>
      <c r="I26" s="1" t="str">
        <f t="shared" si="0"/>
        <v/>
      </c>
    </row>
    <row r="27" spans="2:9" hidden="1" x14ac:dyDescent="0.25">
      <c r="B27" t="s">
        <v>4</v>
      </c>
      <c r="C27" s="1">
        <f t="array" ref="C27">IFERROR(INDEX('Diploma Data Sheet'!$L$3:$L$998,MATCH(Diploma!E27&amp;$E$3,'Diploma Data Sheet'!$G$3:$G$998&amp;'Diploma Data Sheet'!$H$3:$H$998,0)),"")</f>
        <v>0</v>
      </c>
      <c r="D27" s="1">
        <f t="array" ref="D27">IFERROR(INDEX('Diploma Data Sheet'!$I$3:$I$998,MATCH(Diploma!E27&amp;$E$3,'Diploma Data Sheet'!$G$3:$G$998&amp;'Diploma Data Sheet'!$H$3:$H$998,0)),"")</f>
        <v>0</v>
      </c>
      <c r="E27" s="13"/>
      <c r="F27" s="1">
        <f t="array" ref="F27">IFERROR(INDEX('Diploma Data Sheet'!$K$3:$K$998,MATCH(Diploma!E27&amp;$E$3,'Diploma Data Sheet'!$G$3:$G$998&amp;'Diploma Data Sheet'!$H$3:$H$998,0)),"")</f>
        <v>0</v>
      </c>
      <c r="G27" s="12"/>
      <c r="H27" t="str">
        <f>IFERROR(IF(G27="","",VLOOKUP(G27,Points!$A$2:$B$6,2,FALSE)),"")</f>
        <v/>
      </c>
      <c r="I27" s="1" t="str">
        <f t="shared" si="0"/>
        <v/>
      </c>
    </row>
    <row r="28" spans="2:9" hidden="1" x14ac:dyDescent="0.25">
      <c r="B28" t="s">
        <v>4</v>
      </c>
      <c r="C28" s="1">
        <f t="array" ref="C28">IFERROR(INDEX('Diploma Data Sheet'!$L$3:$L$998,MATCH(Diploma!E28&amp;$E$3,'Diploma Data Sheet'!$G$3:$G$998&amp;'Diploma Data Sheet'!$H$3:$H$998,0)),"")</f>
        <v>0</v>
      </c>
      <c r="D28" s="1">
        <f t="array" ref="D28">IFERROR(INDEX('Diploma Data Sheet'!$I$3:$I$998,MATCH(Diploma!E28&amp;$E$3,'Diploma Data Sheet'!$G$3:$G$998&amp;'Diploma Data Sheet'!$H$3:$H$998,0)),"")</f>
        <v>0</v>
      </c>
      <c r="E28" s="13"/>
      <c r="F28" s="1">
        <f t="array" ref="F28">IFERROR(INDEX('Diploma Data Sheet'!$K$3:$K$998,MATCH(Diploma!E28&amp;$E$3,'Diploma Data Sheet'!$G$3:$G$998&amp;'Diploma Data Sheet'!$H$3:$H$998,0)),"")</f>
        <v>0</v>
      </c>
      <c r="G28" s="15"/>
      <c r="H28" t="str">
        <f>IFERROR(IF(G28="","",VLOOKUP(G28,Points!$A$2:$B$6,2,FALSE)),"")</f>
        <v/>
      </c>
      <c r="I28" s="1" t="str">
        <f t="shared" si="0"/>
        <v/>
      </c>
    </row>
    <row r="29" spans="2:9" hidden="1" x14ac:dyDescent="0.25">
      <c r="B29" t="s">
        <v>4</v>
      </c>
      <c r="C29" s="1">
        <f t="array" ref="C29">IFERROR(INDEX('Diploma Data Sheet'!$L$3:$L$998,MATCH(Diploma!E29&amp;$E$3,'Diploma Data Sheet'!$G$3:$G$998&amp;'Diploma Data Sheet'!$H$3:$H$998,0)),"")</f>
        <v>0</v>
      </c>
      <c r="D29" s="1">
        <f t="array" ref="D29">IFERROR(INDEX('Diploma Data Sheet'!$I$3:$I$998,MATCH(Diploma!E29&amp;$E$3,'Diploma Data Sheet'!$G$3:$G$998&amp;'Diploma Data Sheet'!$H$3:$H$998,0)),"")</f>
        <v>0</v>
      </c>
      <c r="E29" s="13"/>
      <c r="F29" s="1">
        <f t="array" ref="F29">IFERROR(INDEX('Diploma Data Sheet'!$K$3:$K$998,MATCH(Diploma!E29&amp;$E$3,'Diploma Data Sheet'!$G$3:$G$998&amp;'Diploma Data Sheet'!$H$3:$H$998,0)),"")</f>
        <v>0</v>
      </c>
      <c r="G29" s="15"/>
      <c r="H29" t="str">
        <f>IFERROR(IF(G29="","",VLOOKUP(G29,Points!$A$2:$B$6,2,FALSE)),"")</f>
        <v/>
      </c>
      <c r="I29" s="1" t="str">
        <f t="shared" si="0"/>
        <v/>
      </c>
    </row>
    <row r="30" spans="2:9" hidden="1" x14ac:dyDescent="0.25">
      <c r="E30" s="14"/>
      <c r="F30" s="10">
        <f>SUM(F20:F29)</f>
        <v>0</v>
      </c>
      <c r="G30" s="14"/>
      <c r="I30" s="1"/>
    </row>
    <row r="31" spans="2:9" ht="15.75" hidden="1" x14ac:dyDescent="0.25">
      <c r="B31" s="16" t="s">
        <v>515</v>
      </c>
      <c r="E31" s="14"/>
      <c r="F31" s="1"/>
      <c r="G31" s="14"/>
      <c r="I31" s="1"/>
    </row>
    <row r="32" spans="2:9" hidden="1" x14ac:dyDescent="0.25">
      <c r="B32" t="s">
        <v>4</v>
      </c>
      <c r="C32" s="1">
        <f t="array" ref="C32">IFERROR(INDEX('Diploma Data Sheet'!$S$3:$S$998,MATCH(Diploma!E32&amp;$E$3,'Diploma Data Sheet'!$N$3:$N$998&amp;'Diploma Data Sheet'!$O$3:$O$998,0)),"")</f>
        <v>0</v>
      </c>
      <c r="D32" s="1">
        <f t="array" ref="D32">IFERROR(INDEX('Diploma Data Sheet'!$P$3:$P$998,MATCH(Diploma!E32&amp;$E$3,'Diploma Data Sheet'!$N$3:$N$998&amp;'Diploma Data Sheet'!$O$3:$O$998,0)),"")</f>
        <v>0</v>
      </c>
      <c r="E32" s="13"/>
      <c r="F32" s="1">
        <f t="array" ref="F32">IFERROR(INDEX('Diploma Data Sheet'!$R$3:$R$998,MATCH(Diploma!E32&amp;$E$3,'Diploma Data Sheet'!$N$3:$N$998&amp;'Diploma Data Sheet'!$O$3:$O$998,0)),"")</f>
        <v>0</v>
      </c>
      <c r="G32" s="12"/>
      <c r="H32" t="str">
        <f>IFERROR(IF(G32="","",VLOOKUP(G32,Points!$A$2:$B$6,2,FALSE)),"")</f>
        <v/>
      </c>
      <c r="I32" s="1" t="str">
        <f t="shared" si="0"/>
        <v/>
      </c>
    </row>
    <row r="33" spans="2:9" hidden="1" x14ac:dyDescent="0.25">
      <c r="B33" t="s">
        <v>4</v>
      </c>
      <c r="C33" s="1">
        <f t="array" ref="C33">IFERROR(INDEX('Diploma Data Sheet'!$S$3:$S$998,MATCH(Diploma!E33&amp;$E$3,'Diploma Data Sheet'!$N$3:$N$998&amp;'Diploma Data Sheet'!$O$3:$O$998,0)),"")</f>
        <v>0</v>
      </c>
      <c r="D33" s="1">
        <f t="array" ref="D33">IFERROR(INDEX('Diploma Data Sheet'!$P$3:$P$998,MATCH(Diploma!E33&amp;$E$3,'Diploma Data Sheet'!$N$3:$N$998&amp;'Diploma Data Sheet'!$O$3:$O$998,0)),"")</f>
        <v>0</v>
      </c>
      <c r="E33" s="13"/>
      <c r="F33" s="1">
        <f t="array" ref="F33">IFERROR(INDEX('Diploma Data Sheet'!$R$3:$R$998,MATCH(Diploma!E33&amp;$E$3,'Diploma Data Sheet'!$N$3:$N$998&amp;'Diploma Data Sheet'!$O$3:$O$998,0)),"")</f>
        <v>0</v>
      </c>
      <c r="G33" s="12"/>
      <c r="H33" t="str">
        <f>IFERROR(IF(G33="","",VLOOKUP(G33,Points!$A$2:$B$6,2,FALSE)),"")</f>
        <v/>
      </c>
      <c r="I33" s="1" t="str">
        <f t="shared" si="0"/>
        <v/>
      </c>
    </row>
    <row r="34" spans="2:9" hidden="1" x14ac:dyDescent="0.25">
      <c r="B34" t="s">
        <v>4</v>
      </c>
      <c r="C34" s="1">
        <f t="array" ref="C34">IFERROR(INDEX('Diploma Data Sheet'!$S$3:$S$998,MATCH(Diploma!E34&amp;$E$3,'Diploma Data Sheet'!$N$3:$N$998&amp;'Diploma Data Sheet'!$O$3:$O$998,0)),"")</f>
        <v>0</v>
      </c>
      <c r="D34" s="1">
        <f t="array" ref="D34">IFERROR(INDEX('Diploma Data Sheet'!$P$3:$P$998,MATCH(Diploma!E34&amp;$E$3,'Diploma Data Sheet'!$N$3:$N$998&amp;'Diploma Data Sheet'!$O$3:$O$998,0)),"")</f>
        <v>0</v>
      </c>
      <c r="E34" s="13"/>
      <c r="F34" s="1">
        <f t="array" ref="F34">IFERROR(INDEX('Diploma Data Sheet'!$R$3:$R$998,MATCH(Diploma!E34&amp;$E$3,'Diploma Data Sheet'!$N$3:$N$998&amp;'Diploma Data Sheet'!$O$3:$O$998,0)),"")</f>
        <v>0</v>
      </c>
      <c r="G34" s="12"/>
      <c r="H34" t="str">
        <f>IFERROR(IF(G34="","",VLOOKUP(G34,Points!$A$2:$B$6,2,FALSE)),"")</f>
        <v/>
      </c>
      <c r="I34" s="1" t="str">
        <f t="shared" si="0"/>
        <v/>
      </c>
    </row>
    <row r="35" spans="2:9" hidden="1" x14ac:dyDescent="0.25">
      <c r="B35" t="s">
        <v>4</v>
      </c>
      <c r="C35" s="1">
        <f t="array" ref="C35">IFERROR(INDEX('Diploma Data Sheet'!$S$3:$S$998,MATCH(Diploma!E35&amp;$E$3,'Diploma Data Sheet'!$N$3:$N$998&amp;'Diploma Data Sheet'!$O$3:$O$998,0)),"")</f>
        <v>0</v>
      </c>
      <c r="D35" s="1">
        <f t="array" ref="D35">IFERROR(INDEX('Diploma Data Sheet'!$P$3:$P$998,MATCH(Diploma!E35&amp;$E$3,'Diploma Data Sheet'!$N$3:$N$998&amp;'Diploma Data Sheet'!$O$3:$O$998,0)),"")</f>
        <v>0</v>
      </c>
      <c r="E35" s="13"/>
      <c r="F35" s="1">
        <f t="array" ref="F35">IFERROR(INDEX('Diploma Data Sheet'!$R$3:$R$998,MATCH(Diploma!E35&amp;$E$3,'Diploma Data Sheet'!$N$3:$N$998&amp;'Diploma Data Sheet'!$O$3:$O$998,0)),"")</f>
        <v>0</v>
      </c>
      <c r="G35" s="12"/>
      <c r="H35" t="str">
        <f>IFERROR(IF(G35="","",VLOOKUP(G35,Points!$A$2:$B$6,2,FALSE)),"")</f>
        <v/>
      </c>
      <c r="I35" s="1" t="str">
        <f t="shared" si="0"/>
        <v/>
      </c>
    </row>
    <row r="36" spans="2:9" hidden="1" x14ac:dyDescent="0.25">
      <c r="B36" t="s">
        <v>4</v>
      </c>
      <c r="C36" s="1">
        <f t="array" ref="C36">IFERROR(INDEX('Diploma Data Sheet'!$S$3:$S$998,MATCH(Diploma!E36&amp;$E$3,'Diploma Data Sheet'!$N$3:$N$998&amp;'Diploma Data Sheet'!$O$3:$O$998,0)),"")</f>
        <v>0</v>
      </c>
      <c r="D36" s="1">
        <f t="array" ref="D36">IFERROR(INDEX('Diploma Data Sheet'!$P$3:$P$998,MATCH(Diploma!E36&amp;$E$3,'Diploma Data Sheet'!$N$3:$N$998&amp;'Diploma Data Sheet'!$O$3:$O$998,0)),"")</f>
        <v>0</v>
      </c>
      <c r="E36" s="13"/>
      <c r="F36" s="1">
        <f t="array" ref="F36">IFERROR(INDEX('Diploma Data Sheet'!$R$3:$R$998,MATCH(Diploma!E36&amp;$E$3,'Diploma Data Sheet'!$N$3:$N$998&amp;'Diploma Data Sheet'!$O$3:$O$998,0)),"")</f>
        <v>0</v>
      </c>
      <c r="G36" s="12"/>
      <c r="H36" t="str">
        <f>IFERROR(IF(G36="","",VLOOKUP(G36,Points!$A$2:$B$6,2,FALSE)),"")</f>
        <v/>
      </c>
      <c r="I36" s="1" t="str">
        <f t="shared" si="0"/>
        <v/>
      </c>
    </row>
    <row r="37" spans="2:9" hidden="1" x14ac:dyDescent="0.25">
      <c r="B37" t="s">
        <v>4</v>
      </c>
      <c r="C37" s="1">
        <f t="array" ref="C37">IFERROR(INDEX('Diploma Data Sheet'!$S$3:$S$998,MATCH(Diploma!E37&amp;$E$3,'Diploma Data Sheet'!$N$3:$N$998&amp;'Diploma Data Sheet'!$O$3:$O$998,0)),"")</f>
        <v>0</v>
      </c>
      <c r="D37" s="1">
        <f t="array" ref="D37">IFERROR(INDEX('Diploma Data Sheet'!$P$3:$P$998,MATCH(Diploma!E37&amp;$E$3,'Diploma Data Sheet'!$N$3:$N$998&amp;'Diploma Data Sheet'!$O$3:$O$998,0)),"")</f>
        <v>0</v>
      </c>
      <c r="E37" s="13"/>
      <c r="F37" s="1">
        <f t="array" ref="F37">IFERROR(INDEX('Diploma Data Sheet'!$R$3:$R$998,MATCH(Diploma!E37&amp;$E$3,'Diploma Data Sheet'!$N$3:$N$998&amp;'Diploma Data Sheet'!$O$3:$O$998,0)),"")</f>
        <v>0</v>
      </c>
      <c r="G37" s="12"/>
      <c r="H37" t="str">
        <f>IFERROR(IF(G37="","",VLOOKUP(G37,Points!$A$2:$B$6,2,FALSE)),"")</f>
        <v/>
      </c>
      <c r="I37" s="1" t="str">
        <f t="shared" si="0"/>
        <v/>
      </c>
    </row>
    <row r="38" spans="2:9" hidden="1" x14ac:dyDescent="0.25">
      <c r="B38" t="s">
        <v>4</v>
      </c>
      <c r="C38" s="1">
        <f t="array" ref="C38">IFERROR(INDEX('Diploma Data Sheet'!$S$3:$S$998,MATCH(Diploma!E38&amp;$E$3,'Diploma Data Sheet'!$N$3:$N$998&amp;'Diploma Data Sheet'!$O$3:$O$998,0)),"")</f>
        <v>0</v>
      </c>
      <c r="D38" s="1">
        <f t="array" ref="D38">IFERROR(INDEX('Diploma Data Sheet'!$P$3:$P$998,MATCH(Diploma!E38&amp;$E$3,'Diploma Data Sheet'!$N$3:$N$998&amp;'Diploma Data Sheet'!$O$3:$O$998,0)),"")</f>
        <v>0</v>
      </c>
      <c r="E38" s="13"/>
      <c r="F38" s="1">
        <f t="array" ref="F38">IFERROR(INDEX('Diploma Data Sheet'!$R$3:$R$998,MATCH(Diploma!E38&amp;$E$3,'Diploma Data Sheet'!$N$3:$N$998&amp;'Diploma Data Sheet'!$O$3:$O$998,0)),"")</f>
        <v>0</v>
      </c>
      <c r="G38" s="12"/>
      <c r="H38" t="str">
        <f>IFERROR(IF(G38="","",VLOOKUP(G38,Points!$A$2:$B$6,2,FALSE)),"")</f>
        <v/>
      </c>
      <c r="I38" s="1" t="str">
        <f t="shared" si="0"/>
        <v/>
      </c>
    </row>
    <row r="39" spans="2:9" hidden="1" x14ac:dyDescent="0.25">
      <c r="B39" t="s">
        <v>4</v>
      </c>
      <c r="C39" s="1">
        <f t="array" ref="C39">IFERROR(INDEX('Diploma Data Sheet'!$S$3:$S$998,MATCH(Diploma!E39&amp;$E$3,'Diploma Data Sheet'!$N$3:$N$998&amp;'Diploma Data Sheet'!$O$3:$O$998,0)),"")</f>
        <v>0</v>
      </c>
      <c r="D39" s="1">
        <f t="array" ref="D39">IFERROR(INDEX('Diploma Data Sheet'!$P$3:$P$998,MATCH(Diploma!E39&amp;$E$3,'Diploma Data Sheet'!$N$3:$N$998&amp;'Diploma Data Sheet'!$O$3:$O$998,0)),"")</f>
        <v>0</v>
      </c>
      <c r="E39" s="13"/>
      <c r="F39" s="1">
        <f t="array" ref="F39">IFERROR(INDEX('Diploma Data Sheet'!$R$3:$R$998,MATCH(Diploma!E39&amp;$E$3,'Diploma Data Sheet'!$N$3:$N$998&amp;'Diploma Data Sheet'!$O$3:$O$998,0)),"")</f>
        <v>0</v>
      </c>
      <c r="G39" s="12"/>
      <c r="H39" t="str">
        <f>IFERROR(IF(G39="","",VLOOKUP(G39,Points!$A$2:$B$6,2,FALSE)),"")</f>
        <v/>
      </c>
      <c r="I39" s="1" t="str">
        <f t="shared" si="0"/>
        <v/>
      </c>
    </row>
    <row r="40" spans="2:9" hidden="1" x14ac:dyDescent="0.25">
      <c r="B40" t="s">
        <v>4</v>
      </c>
      <c r="C40" s="1">
        <f t="array" ref="C40">IFERROR(INDEX('Diploma Data Sheet'!$S$3:$S$998,MATCH(Diploma!E40&amp;$E$3,'Diploma Data Sheet'!$N$3:$N$998&amp;'Diploma Data Sheet'!$O$3:$O$998,0)),"")</f>
        <v>0</v>
      </c>
      <c r="D40" s="1">
        <f t="array" ref="D40">IFERROR(INDEX('Diploma Data Sheet'!$P$3:$P$998,MATCH(Diploma!E40&amp;$E$3,'Diploma Data Sheet'!$N$3:$N$998&amp;'Diploma Data Sheet'!$O$3:$O$998,0)),"")</f>
        <v>0</v>
      </c>
      <c r="E40" s="13"/>
      <c r="F40" s="1">
        <f t="array" ref="F40">IFERROR(INDEX('Diploma Data Sheet'!$R$3:$R$998,MATCH(Diploma!E40&amp;$E$3,'Diploma Data Sheet'!$N$3:$N$998&amp;'Diploma Data Sheet'!$O$3:$O$998,0)),"")</f>
        <v>0</v>
      </c>
      <c r="G40" s="12"/>
      <c r="H40" t="str">
        <f>IFERROR(IF(G40="","",VLOOKUP(G40,Points!$A$2:$B$6,2,FALSE)),"")</f>
        <v/>
      </c>
      <c r="I40" s="1" t="str">
        <f t="shared" si="0"/>
        <v/>
      </c>
    </row>
    <row r="41" spans="2:9" hidden="1" x14ac:dyDescent="0.25">
      <c r="B41" t="s">
        <v>4</v>
      </c>
      <c r="C41" s="1">
        <f t="array" ref="C41">IFERROR(INDEX('Diploma Data Sheet'!$S$3:$S$998,MATCH(Diploma!E41&amp;$E$3,'Diploma Data Sheet'!$N$3:$N$998&amp;'Diploma Data Sheet'!$O$3:$O$998,0)),"")</f>
        <v>0</v>
      </c>
      <c r="D41" s="1">
        <f t="array" ref="D41">IFERROR(INDEX('Diploma Data Sheet'!$P$3:$P$998,MATCH(Diploma!E41&amp;$E$3,'Diploma Data Sheet'!$N$3:$N$998&amp;'Diploma Data Sheet'!$O$3:$O$998,0)),"")</f>
        <v>0</v>
      </c>
      <c r="E41" s="13"/>
      <c r="F41" s="1">
        <f t="array" ref="F41">IFERROR(INDEX('Diploma Data Sheet'!$R$3:$R$998,MATCH(Diploma!E41&amp;$E$3,'Diploma Data Sheet'!$N$3:$N$998&amp;'Diploma Data Sheet'!$O$3:$O$998,0)),"")</f>
        <v>0</v>
      </c>
      <c r="G41" s="12"/>
      <c r="H41" t="str">
        <f>IFERROR(IF(G41="","",VLOOKUP(G41,Points!$A$2:$B$6,2,FALSE)),"")</f>
        <v/>
      </c>
      <c r="I41" s="1" t="str">
        <f t="shared" si="0"/>
        <v/>
      </c>
    </row>
    <row r="42" spans="2:9" hidden="1" x14ac:dyDescent="0.25">
      <c r="F42" s="10">
        <f>SUM(F32:F41)</f>
        <v>0</v>
      </c>
    </row>
    <row r="43" spans="2:9" ht="18.75" x14ac:dyDescent="0.25">
      <c r="F43" s="21">
        <f>SUM(F18+F30+F42)</f>
        <v>0</v>
      </c>
      <c r="G43" s="4" t="s">
        <v>105</v>
      </c>
      <c r="H43" s="5"/>
      <c r="I43" s="4" t="str">
        <f>IFERROR(IF($I$44="","",VLOOKUP($I$44,Points!$N$2:$O$10,2,TRUE)),"")</f>
        <v>U</v>
      </c>
    </row>
    <row r="44" spans="2:9" ht="15.75" x14ac:dyDescent="0.25">
      <c r="G44" s="6" t="s">
        <v>2</v>
      </c>
      <c r="H44" s="7"/>
      <c r="I44" s="6">
        <f>SUM(I8:I41)</f>
        <v>0</v>
      </c>
    </row>
  </sheetData>
  <sheetProtection password="85BF" sheet="1" objects="1" scenarios="1" formatCells="0" formatColumns="0" formatRows="0" selectLockedCells="1"/>
  <dataValidations count="4">
    <dataValidation type="list" allowBlank="1" showInputMessage="1" showErrorMessage="1" sqref="E20:E29">
      <formula1>OFFSET(INDIRECT(SUBSTITUTE($E$3," ","_")&amp;"_D"&amp;"_units"&amp;"_Group_A"),0,0,COUNT(INDIRECT(SUBSTITUTE($E$3," ","_")&amp;"_D"&amp;"_col"&amp;"_Group_A")),1)</formula1>
    </dataValidation>
    <dataValidation type="list" allowBlank="1" showInputMessage="1" showErrorMessage="1" sqref="E3">
      <formula1>DiplomaSector</formula1>
    </dataValidation>
    <dataValidation type="list" allowBlank="1" showInputMessage="1" showErrorMessage="1" sqref="G8:G17 G20:G29 G32:G41">
      <formula1>UnitGrade</formula1>
    </dataValidation>
    <dataValidation type="list" allowBlank="1" showInputMessage="1" showErrorMessage="1" sqref="E32:E41">
      <formula1>OFFSET(INDIRECT(SUBSTITUTE($E$3," ","_")&amp;"_D"&amp;"_units"&amp;"_Group_B"),0,0,COUNT(INDIRECT(SUBSTITUTE($E$3," ","_")&amp;"_D"&amp;"_col"&amp;"_Group_B")),1)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86"/>
  <sheetViews>
    <sheetView topLeftCell="A34" workbookViewId="0">
      <selection activeCell="D66" sqref="D66"/>
    </sheetView>
  </sheetViews>
  <sheetFormatPr defaultRowHeight="15" x14ac:dyDescent="0.25"/>
  <cols>
    <col min="1" max="1" width="55.28515625" bestFit="1" customWidth="1"/>
    <col min="3" max="3" width="53" bestFit="1" customWidth="1"/>
    <col min="7" max="7" width="49.7109375" bestFit="1" customWidth="1"/>
    <col min="8" max="8" width="41.28515625" bestFit="1" customWidth="1"/>
  </cols>
  <sheetData>
    <row r="1" spans="1:12" x14ac:dyDescent="0.25">
      <c r="A1" t="s">
        <v>8</v>
      </c>
      <c r="H1" t="s">
        <v>23</v>
      </c>
    </row>
    <row r="2" spans="1:12" x14ac:dyDescent="0.25">
      <c r="A2" t="s">
        <v>9</v>
      </c>
      <c r="B2" t="s">
        <v>10</v>
      </c>
      <c r="C2" t="s">
        <v>7</v>
      </c>
      <c r="D2" t="s">
        <v>0</v>
      </c>
      <c r="E2" t="s">
        <v>11</v>
      </c>
      <c r="H2" t="s">
        <v>9</v>
      </c>
      <c r="I2" t="s">
        <v>6</v>
      </c>
      <c r="J2" t="s">
        <v>7</v>
      </c>
      <c r="K2" t="s">
        <v>0</v>
      </c>
      <c r="L2" t="s">
        <v>11</v>
      </c>
    </row>
    <row r="3" spans="1:12" x14ac:dyDescent="0.25">
      <c r="A3" t="s">
        <v>44</v>
      </c>
      <c r="B3">
        <v>5</v>
      </c>
      <c r="C3" t="s">
        <v>533</v>
      </c>
      <c r="D3">
        <v>30</v>
      </c>
      <c r="E3" t="s">
        <v>22</v>
      </c>
      <c r="F3" t="s">
        <v>3</v>
      </c>
      <c r="G3" t="s">
        <v>113</v>
      </c>
      <c r="H3" t="s">
        <v>46</v>
      </c>
      <c r="I3">
        <v>3</v>
      </c>
      <c r="J3" t="s">
        <v>113</v>
      </c>
      <c r="K3">
        <v>30</v>
      </c>
      <c r="L3" t="s">
        <v>22</v>
      </c>
    </row>
    <row r="4" spans="1:12" x14ac:dyDescent="0.25">
      <c r="A4" t="s">
        <v>44</v>
      </c>
      <c r="B4">
        <v>6</v>
      </c>
      <c r="C4" t="s">
        <v>534</v>
      </c>
      <c r="D4">
        <v>30</v>
      </c>
      <c r="E4" t="s">
        <v>22</v>
      </c>
      <c r="F4" t="s">
        <v>3</v>
      </c>
      <c r="G4" t="s">
        <v>114</v>
      </c>
      <c r="H4" t="s">
        <v>46</v>
      </c>
      <c r="I4">
        <v>4</v>
      </c>
      <c r="J4" t="s">
        <v>114</v>
      </c>
      <c r="K4">
        <v>30</v>
      </c>
      <c r="L4" t="s">
        <v>22</v>
      </c>
    </row>
    <row r="5" spans="1:12" x14ac:dyDescent="0.25">
      <c r="A5" t="s">
        <v>44</v>
      </c>
      <c r="B5">
        <v>7</v>
      </c>
      <c r="C5" t="s">
        <v>19</v>
      </c>
      <c r="D5">
        <v>30</v>
      </c>
      <c r="E5" t="s">
        <v>22</v>
      </c>
      <c r="F5" t="s">
        <v>3</v>
      </c>
      <c r="G5" t="s">
        <v>108</v>
      </c>
      <c r="H5" t="s">
        <v>46</v>
      </c>
      <c r="I5">
        <v>5</v>
      </c>
      <c r="J5" t="s">
        <v>108</v>
      </c>
      <c r="K5">
        <v>30</v>
      </c>
      <c r="L5" t="s">
        <v>22</v>
      </c>
    </row>
    <row r="6" spans="1:12" x14ac:dyDescent="0.25">
      <c r="A6" t="s">
        <v>44</v>
      </c>
      <c r="B6">
        <v>8</v>
      </c>
      <c r="C6" t="s">
        <v>20</v>
      </c>
      <c r="D6">
        <v>30</v>
      </c>
      <c r="E6" t="s">
        <v>21</v>
      </c>
      <c r="F6" t="s">
        <v>3</v>
      </c>
      <c r="G6" t="s">
        <v>109</v>
      </c>
      <c r="H6" t="s">
        <v>46</v>
      </c>
      <c r="I6">
        <v>6</v>
      </c>
      <c r="J6" t="s">
        <v>109</v>
      </c>
      <c r="K6">
        <v>30</v>
      </c>
      <c r="L6" t="s">
        <v>22</v>
      </c>
    </row>
    <row r="7" spans="1:12" x14ac:dyDescent="0.25">
      <c r="A7" t="s">
        <v>45</v>
      </c>
      <c r="B7">
        <v>1</v>
      </c>
      <c r="C7" t="s">
        <v>13</v>
      </c>
      <c r="D7">
        <v>30</v>
      </c>
      <c r="E7" t="s">
        <v>21</v>
      </c>
      <c r="F7" t="s">
        <v>3</v>
      </c>
      <c r="G7" t="s">
        <v>154</v>
      </c>
      <c r="H7" t="s">
        <v>54</v>
      </c>
      <c r="I7">
        <v>3</v>
      </c>
      <c r="J7" t="s">
        <v>154</v>
      </c>
      <c r="K7">
        <v>30</v>
      </c>
      <c r="L7" t="s">
        <v>22</v>
      </c>
    </row>
    <row r="8" spans="1:12" x14ac:dyDescent="0.25">
      <c r="A8" t="s">
        <v>45</v>
      </c>
      <c r="B8">
        <v>2</v>
      </c>
      <c r="C8" t="s">
        <v>535</v>
      </c>
      <c r="D8">
        <v>30</v>
      </c>
      <c r="E8" t="s">
        <v>22</v>
      </c>
      <c r="F8" t="s">
        <v>3</v>
      </c>
      <c r="G8" t="s">
        <v>158</v>
      </c>
      <c r="H8" t="s">
        <v>54</v>
      </c>
      <c r="I8">
        <v>4</v>
      </c>
      <c r="J8" t="s">
        <v>158</v>
      </c>
      <c r="K8">
        <v>30</v>
      </c>
      <c r="L8" t="s">
        <v>22</v>
      </c>
    </row>
    <row r="9" spans="1:12" x14ac:dyDescent="0.25">
      <c r="A9" t="s">
        <v>45</v>
      </c>
      <c r="B9">
        <v>3</v>
      </c>
      <c r="C9" t="s">
        <v>536</v>
      </c>
      <c r="D9">
        <v>30</v>
      </c>
      <c r="E9" t="s">
        <v>22</v>
      </c>
      <c r="F9" t="s">
        <v>3</v>
      </c>
      <c r="G9" t="s">
        <v>159</v>
      </c>
      <c r="H9" t="s">
        <v>54</v>
      </c>
      <c r="I9">
        <v>5</v>
      </c>
      <c r="J9" t="s">
        <v>159</v>
      </c>
      <c r="K9">
        <v>30</v>
      </c>
      <c r="L9" t="s">
        <v>22</v>
      </c>
    </row>
    <row r="10" spans="1:12" x14ac:dyDescent="0.25">
      <c r="A10" t="s">
        <v>45</v>
      </c>
      <c r="B10">
        <v>4</v>
      </c>
      <c r="C10" t="s">
        <v>537</v>
      </c>
      <c r="D10">
        <v>30</v>
      </c>
      <c r="E10" t="s">
        <v>22</v>
      </c>
      <c r="F10" t="s">
        <v>3</v>
      </c>
      <c r="G10" t="s">
        <v>160</v>
      </c>
      <c r="H10" t="s">
        <v>54</v>
      </c>
      <c r="I10">
        <v>6</v>
      </c>
      <c r="J10" t="s">
        <v>160</v>
      </c>
      <c r="K10">
        <v>30</v>
      </c>
      <c r="L10" t="s">
        <v>22</v>
      </c>
    </row>
    <row r="11" spans="1:12" x14ac:dyDescent="0.25">
      <c r="A11" t="s">
        <v>46</v>
      </c>
      <c r="B11">
        <v>1</v>
      </c>
      <c r="C11" t="s">
        <v>106</v>
      </c>
      <c r="D11">
        <v>30</v>
      </c>
      <c r="E11" t="s">
        <v>22</v>
      </c>
      <c r="F11" t="s">
        <v>541</v>
      </c>
      <c r="G11" t="s">
        <v>161</v>
      </c>
      <c r="H11" t="s">
        <v>54</v>
      </c>
      <c r="I11">
        <v>7</v>
      </c>
      <c r="J11" t="s">
        <v>161</v>
      </c>
      <c r="K11">
        <v>30</v>
      </c>
      <c r="L11" t="s">
        <v>22</v>
      </c>
    </row>
    <row r="12" spans="1:12" x14ac:dyDescent="0.25">
      <c r="A12" t="s">
        <v>46</v>
      </c>
      <c r="B12">
        <v>2</v>
      </c>
      <c r="C12" t="s">
        <v>107</v>
      </c>
      <c r="D12">
        <v>30</v>
      </c>
      <c r="E12" t="s">
        <v>21</v>
      </c>
      <c r="F12" t="s">
        <v>541</v>
      </c>
      <c r="G12" t="s">
        <v>162</v>
      </c>
      <c r="H12" t="s">
        <v>54</v>
      </c>
      <c r="I12">
        <v>8</v>
      </c>
      <c r="J12" t="s">
        <v>162</v>
      </c>
      <c r="K12">
        <v>30</v>
      </c>
      <c r="L12" t="s">
        <v>22</v>
      </c>
    </row>
    <row r="13" spans="1:12" x14ac:dyDescent="0.25">
      <c r="A13" t="s">
        <v>54</v>
      </c>
      <c r="B13">
        <v>1</v>
      </c>
      <c r="C13" t="s">
        <v>152</v>
      </c>
      <c r="D13">
        <v>30</v>
      </c>
      <c r="E13" t="s">
        <v>22</v>
      </c>
      <c r="F13" t="s">
        <v>541</v>
      </c>
      <c r="G13" t="s">
        <v>154</v>
      </c>
      <c r="H13" t="s">
        <v>55</v>
      </c>
      <c r="I13">
        <v>4</v>
      </c>
      <c r="J13" t="s">
        <v>154</v>
      </c>
      <c r="K13">
        <v>30</v>
      </c>
      <c r="L13" t="s">
        <v>22</v>
      </c>
    </row>
    <row r="14" spans="1:12" x14ac:dyDescent="0.25">
      <c r="A14" t="s">
        <v>54</v>
      </c>
      <c r="B14">
        <v>2</v>
      </c>
      <c r="C14" t="s">
        <v>153</v>
      </c>
      <c r="D14">
        <v>30</v>
      </c>
      <c r="E14" t="s">
        <v>21</v>
      </c>
      <c r="F14" t="s">
        <v>541</v>
      </c>
      <c r="G14" t="s">
        <v>158</v>
      </c>
      <c r="H14" t="s">
        <v>55</v>
      </c>
      <c r="I14">
        <v>5</v>
      </c>
      <c r="J14" t="s">
        <v>158</v>
      </c>
      <c r="K14">
        <v>30</v>
      </c>
      <c r="L14" t="s">
        <v>22</v>
      </c>
    </row>
    <row r="15" spans="1:12" x14ac:dyDescent="0.25">
      <c r="A15" t="s">
        <v>55</v>
      </c>
      <c r="B15">
        <v>1</v>
      </c>
      <c r="C15" t="s">
        <v>539</v>
      </c>
      <c r="D15">
        <v>30</v>
      </c>
      <c r="E15" t="s">
        <v>22</v>
      </c>
      <c r="F15" t="s">
        <v>3</v>
      </c>
      <c r="G15" t="s">
        <v>162</v>
      </c>
      <c r="H15" t="s">
        <v>55</v>
      </c>
      <c r="I15">
        <v>6</v>
      </c>
      <c r="J15" t="s">
        <v>162</v>
      </c>
      <c r="K15">
        <v>30</v>
      </c>
      <c r="L15" t="s">
        <v>22</v>
      </c>
    </row>
    <row r="16" spans="1:12" x14ac:dyDescent="0.25">
      <c r="A16" t="s">
        <v>55</v>
      </c>
      <c r="B16">
        <v>2</v>
      </c>
      <c r="C16" t="s">
        <v>153</v>
      </c>
      <c r="D16">
        <v>30</v>
      </c>
      <c r="E16" t="s">
        <v>21</v>
      </c>
      <c r="F16" t="s">
        <v>3</v>
      </c>
      <c r="G16" t="s">
        <v>187</v>
      </c>
      <c r="H16" t="s">
        <v>56</v>
      </c>
      <c r="I16">
        <v>4</v>
      </c>
      <c r="J16" t="s">
        <v>187</v>
      </c>
      <c r="K16">
        <v>30</v>
      </c>
      <c r="L16" t="s">
        <v>22</v>
      </c>
    </row>
    <row r="17" spans="1:12" x14ac:dyDescent="0.25">
      <c r="A17" t="s">
        <v>55</v>
      </c>
      <c r="B17">
        <v>3</v>
      </c>
      <c r="C17" t="s">
        <v>152</v>
      </c>
      <c r="D17">
        <v>30</v>
      </c>
      <c r="E17" t="s">
        <v>22</v>
      </c>
      <c r="F17" t="s">
        <v>3</v>
      </c>
      <c r="G17" t="s">
        <v>190</v>
      </c>
      <c r="H17" t="s">
        <v>56</v>
      </c>
      <c r="I17">
        <v>5</v>
      </c>
      <c r="J17" t="s">
        <v>190</v>
      </c>
      <c r="K17">
        <v>30</v>
      </c>
      <c r="L17" t="s">
        <v>22</v>
      </c>
    </row>
    <row r="18" spans="1:12" x14ac:dyDescent="0.25">
      <c r="A18" t="s">
        <v>56</v>
      </c>
      <c r="B18">
        <v>1</v>
      </c>
      <c r="C18" t="s">
        <v>184</v>
      </c>
      <c r="D18">
        <v>30</v>
      </c>
      <c r="E18" t="s">
        <v>21</v>
      </c>
      <c r="F18" t="s">
        <v>541</v>
      </c>
      <c r="G18" t="s">
        <v>191</v>
      </c>
      <c r="H18" t="s">
        <v>56</v>
      </c>
      <c r="I18">
        <v>6</v>
      </c>
      <c r="J18" t="s">
        <v>191</v>
      </c>
      <c r="K18">
        <v>30</v>
      </c>
      <c r="L18" t="s">
        <v>22</v>
      </c>
    </row>
    <row r="19" spans="1:12" x14ac:dyDescent="0.25">
      <c r="A19" t="s">
        <v>56</v>
      </c>
      <c r="B19">
        <v>2</v>
      </c>
      <c r="C19" t="s">
        <v>185</v>
      </c>
      <c r="D19">
        <v>30</v>
      </c>
      <c r="E19" t="s">
        <v>22</v>
      </c>
      <c r="F19" t="s">
        <v>541</v>
      </c>
      <c r="G19" t="s">
        <v>192</v>
      </c>
      <c r="H19" t="s">
        <v>56</v>
      </c>
      <c r="I19">
        <v>7</v>
      </c>
      <c r="J19" t="s">
        <v>192</v>
      </c>
      <c r="K19">
        <v>30</v>
      </c>
      <c r="L19" t="s">
        <v>22</v>
      </c>
    </row>
    <row r="20" spans="1:12" x14ac:dyDescent="0.25">
      <c r="A20" t="s">
        <v>56</v>
      </c>
      <c r="B20">
        <v>3</v>
      </c>
      <c r="C20" t="s">
        <v>186</v>
      </c>
      <c r="D20">
        <v>30</v>
      </c>
      <c r="E20" t="s">
        <v>22</v>
      </c>
      <c r="F20" t="s">
        <v>3</v>
      </c>
      <c r="G20" t="s">
        <v>193</v>
      </c>
      <c r="H20" t="s">
        <v>56</v>
      </c>
      <c r="I20">
        <v>8</v>
      </c>
      <c r="J20" t="s">
        <v>193</v>
      </c>
      <c r="K20">
        <v>30</v>
      </c>
      <c r="L20" t="s">
        <v>22</v>
      </c>
    </row>
    <row r="21" spans="1:12" x14ac:dyDescent="0.25">
      <c r="A21" t="s">
        <v>57</v>
      </c>
      <c r="B21">
        <v>1</v>
      </c>
      <c r="C21" t="s">
        <v>184</v>
      </c>
      <c r="D21">
        <v>30</v>
      </c>
      <c r="E21" t="s">
        <v>21</v>
      </c>
      <c r="F21" t="s">
        <v>3</v>
      </c>
      <c r="G21" t="s">
        <v>194</v>
      </c>
      <c r="H21" t="s">
        <v>56</v>
      </c>
      <c r="I21">
        <v>9</v>
      </c>
      <c r="J21" t="s">
        <v>194</v>
      </c>
      <c r="K21">
        <v>30</v>
      </c>
      <c r="L21" t="s">
        <v>22</v>
      </c>
    </row>
    <row r="22" spans="1:12" x14ac:dyDescent="0.25">
      <c r="A22" t="s">
        <v>57</v>
      </c>
      <c r="B22">
        <v>2</v>
      </c>
      <c r="C22" t="s">
        <v>186</v>
      </c>
      <c r="D22">
        <v>30</v>
      </c>
      <c r="E22" t="s">
        <v>22</v>
      </c>
      <c r="F22" t="s">
        <v>3</v>
      </c>
      <c r="G22" t="s">
        <v>195</v>
      </c>
      <c r="H22" t="s">
        <v>56</v>
      </c>
      <c r="I22">
        <v>10</v>
      </c>
      <c r="J22" t="s">
        <v>195</v>
      </c>
      <c r="K22">
        <v>30</v>
      </c>
      <c r="L22" t="s">
        <v>22</v>
      </c>
    </row>
    <row r="23" spans="1:12" x14ac:dyDescent="0.25">
      <c r="A23" t="s">
        <v>57</v>
      </c>
      <c r="B23">
        <v>3</v>
      </c>
      <c r="C23" t="s">
        <v>185</v>
      </c>
      <c r="D23">
        <v>30</v>
      </c>
      <c r="E23" t="s">
        <v>22</v>
      </c>
      <c r="F23" t="s">
        <v>3</v>
      </c>
      <c r="G23" t="s">
        <v>190</v>
      </c>
      <c r="H23" t="s">
        <v>57</v>
      </c>
      <c r="I23">
        <v>4</v>
      </c>
      <c r="J23" t="s">
        <v>190</v>
      </c>
      <c r="K23">
        <v>30</v>
      </c>
      <c r="L23" t="s">
        <v>22</v>
      </c>
    </row>
    <row r="24" spans="1:12" x14ac:dyDescent="0.25">
      <c r="A24" t="s">
        <v>59</v>
      </c>
      <c r="B24">
        <v>1</v>
      </c>
      <c r="C24" t="s">
        <v>212</v>
      </c>
      <c r="D24">
        <v>30</v>
      </c>
      <c r="E24" t="s">
        <v>21</v>
      </c>
      <c r="F24" t="s">
        <v>541</v>
      </c>
      <c r="G24" t="s">
        <v>191</v>
      </c>
      <c r="H24" t="s">
        <v>57</v>
      </c>
      <c r="I24">
        <v>5</v>
      </c>
      <c r="J24" t="s">
        <v>191</v>
      </c>
      <c r="K24">
        <v>30</v>
      </c>
      <c r="L24" t="s">
        <v>22</v>
      </c>
    </row>
    <row r="25" spans="1:12" x14ac:dyDescent="0.25">
      <c r="A25" t="s">
        <v>59</v>
      </c>
      <c r="B25">
        <v>2</v>
      </c>
      <c r="C25" t="s">
        <v>213</v>
      </c>
      <c r="D25">
        <v>30</v>
      </c>
      <c r="E25" t="s">
        <v>22</v>
      </c>
      <c r="F25" t="s">
        <v>541</v>
      </c>
      <c r="G25" t="s">
        <v>192</v>
      </c>
      <c r="H25" t="s">
        <v>57</v>
      </c>
      <c r="I25">
        <v>6</v>
      </c>
      <c r="J25" t="s">
        <v>192</v>
      </c>
      <c r="K25">
        <v>30</v>
      </c>
      <c r="L25" t="s">
        <v>22</v>
      </c>
    </row>
    <row r="26" spans="1:12" x14ac:dyDescent="0.25">
      <c r="A26" t="s">
        <v>60</v>
      </c>
      <c r="B26">
        <v>1</v>
      </c>
      <c r="C26" t="s">
        <v>234</v>
      </c>
      <c r="D26">
        <v>30</v>
      </c>
      <c r="E26" t="s">
        <v>21</v>
      </c>
      <c r="F26" t="s">
        <v>541</v>
      </c>
      <c r="G26" t="s">
        <v>193</v>
      </c>
      <c r="H26" t="s">
        <v>57</v>
      </c>
      <c r="I26">
        <v>7</v>
      </c>
      <c r="J26" t="s">
        <v>193</v>
      </c>
      <c r="K26">
        <v>30</v>
      </c>
      <c r="L26" t="s">
        <v>22</v>
      </c>
    </row>
    <row r="27" spans="1:12" x14ac:dyDescent="0.25">
      <c r="A27" t="s">
        <v>60</v>
      </c>
      <c r="B27">
        <v>2</v>
      </c>
      <c r="C27" t="s">
        <v>235</v>
      </c>
      <c r="D27">
        <v>30</v>
      </c>
      <c r="E27" t="s">
        <v>22</v>
      </c>
      <c r="F27" t="s">
        <v>541</v>
      </c>
      <c r="G27" t="s">
        <v>194</v>
      </c>
      <c r="H27" t="s">
        <v>57</v>
      </c>
      <c r="I27">
        <v>8</v>
      </c>
      <c r="J27" t="s">
        <v>194</v>
      </c>
      <c r="K27">
        <v>30</v>
      </c>
      <c r="L27" t="s">
        <v>22</v>
      </c>
    </row>
    <row r="28" spans="1:12" x14ac:dyDescent="0.25">
      <c r="A28" t="s">
        <v>61</v>
      </c>
      <c r="B28">
        <v>2</v>
      </c>
      <c r="C28" t="s">
        <v>235</v>
      </c>
      <c r="D28">
        <v>30</v>
      </c>
      <c r="E28" t="s">
        <v>22</v>
      </c>
      <c r="F28" t="s">
        <v>541</v>
      </c>
      <c r="G28" t="s">
        <v>195</v>
      </c>
      <c r="H28" t="s">
        <v>57</v>
      </c>
      <c r="I28">
        <v>9</v>
      </c>
      <c r="J28" t="s">
        <v>195</v>
      </c>
      <c r="K28">
        <v>30</v>
      </c>
      <c r="L28" t="s">
        <v>22</v>
      </c>
    </row>
    <row r="29" spans="1:12" x14ac:dyDescent="0.25">
      <c r="A29" t="s">
        <v>61</v>
      </c>
      <c r="B29">
        <v>9</v>
      </c>
      <c r="C29" t="s">
        <v>238</v>
      </c>
      <c r="D29">
        <v>30</v>
      </c>
      <c r="E29" t="s">
        <v>21</v>
      </c>
      <c r="F29" t="s">
        <v>541</v>
      </c>
      <c r="G29" t="s">
        <v>217</v>
      </c>
      <c r="H29" t="s">
        <v>59</v>
      </c>
      <c r="I29">
        <v>3</v>
      </c>
      <c r="J29" t="s">
        <v>217</v>
      </c>
      <c r="K29">
        <v>30</v>
      </c>
      <c r="L29" t="s">
        <v>22</v>
      </c>
    </row>
    <row r="30" spans="1:12" x14ac:dyDescent="0.25">
      <c r="A30" t="s">
        <v>61</v>
      </c>
      <c r="B30">
        <v>12</v>
      </c>
      <c r="C30" t="s">
        <v>243</v>
      </c>
      <c r="D30">
        <v>60</v>
      </c>
      <c r="E30" t="s">
        <v>22</v>
      </c>
      <c r="F30" t="s">
        <v>3</v>
      </c>
      <c r="G30" t="s">
        <v>218</v>
      </c>
      <c r="H30" t="s">
        <v>59</v>
      </c>
      <c r="I30">
        <v>4</v>
      </c>
      <c r="J30" t="s">
        <v>218</v>
      </c>
      <c r="K30">
        <v>30</v>
      </c>
      <c r="L30" t="s">
        <v>22</v>
      </c>
    </row>
    <row r="31" spans="1:12" x14ac:dyDescent="0.25">
      <c r="A31" t="s">
        <v>62</v>
      </c>
      <c r="B31">
        <v>1</v>
      </c>
      <c r="C31" t="s">
        <v>234</v>
      </c>
      <c r="D31">
        <v>30</v>
      </c>
      <c r="E31" t="s">
        <v>21</v>
      </c>
      <c r="F31" t="s">
        <v>541</v>
      </c>
      <c r="G31" t="s">
        <v>219</v>
      </c>
      <c r="H31" t="s">
        <v>59</v>
      </c>
      <c r="I31">
        <v>5</v>
      </c>
      <c r="J31" t="s">
        <v>219</v>
      </c>
      <c r="K31">
        <v>30</v>
      </c>
      <c r="L31" t="s">
        <v>22</v>
      </c>
    </row>
    <row r="32" spans="1:12" x14ac:dyDescent="0.25">
      <c r="A32" t="s">
        <v>62</v>
      </c>
      <c r="B32">
        <v>36</v>
      </c>
      <c r="C32" t="s">
        <v>545</v>
      </c>
      <c r="D32">
        <v>30</v>
      </c>
      <c r="E32" t="s">
        <v>22</v>
      </c>
      <c r="F32" t="s">
        <v>541</v>
      </c>
      <c r="G32" t="s">
        <v>220</v>
      </c>
      <c r="H32" t="s">
        <v>59</v>
      </c>
      <c r="I32">
        <v>6</v>
      </c>
      <c r="J32" t="s">
        <v>220</v>
      </c>
      <c r="K32">
        <v>30</v>
      </c>
      <c r="L32" t="s">
        <v>22</v>
      </c>
    </row>
    <row r="33" spans="1:12" x14ac:dyDescent="0.25">
      <c r="A33" t="s">
        <v>62</v>
      </c>
      <c r="B33">
        <v>37</v>
      </c>
      <c r="C33" t="s">
        <v>546</v>
      </c>
      <c r="D33">
        <v>60</v>
      </c>
      <c r="E33" t="s">
        <v>22</v>
      </c>
      <c r="F33" t="s">
        <v>3</v>
      </c>
      <c r="G33" t="s">
        <v>221</v>
      </c>
      <c r="H33" t="s">
        <v>59</v>
      </c>
      <c r="I33">
        <v>7</v>
      </c>
      <c r="J33" t="s">
        <v>221</v>
      </c>
      <c r="K33">
        <v>30</v>
      </c>
      <c r="L33" t="s">
        <v>22</v>
      </c>
    </row>
    <row r="34" spans="1:12" x14ac:dyDescent="0.25">
      <c r="A34" t="s">
        <v>547</v>
      </c>
      <c r="B34">
        <v>4</v>
      </c>
      <c r="C34" t="s">
        <v>66</v>
      </c>
      <c r="D34">
        <v>30</v>
      </c>
      <c r="E34" t="s">
        <v>22</v>
      </c>
      <c r="F34" t="s">
        <v>541</v>
      </c>
      <c r="G34" t="s">
        <v>236</v>
      </c>
      <c r="H34" t="s">
        <v>60</v>
      </c>
      <c r="I34">
        <v>3</v>
      </c>
      <c r="J34" t="s">
        <v>236</v>
      </c>
      <c r="K34">
        <v>30</v>
      </c>
      <c r="L34" t="s">
        <v>22</v>
      </c>
    </row>
    <row r="35" spans="1:12" x14ac:dyDescent="0.25">
      <c r="A35" t="s">
        <v>547</v>
      </c>
      <c r="B35">
        <v>38</v>
      </c>
      <c r="C35" t="s">
        <v>548</v>
      </c>
      <c r="D35">
        <v>30</v>
      </c>
      <c r="E35" t="s">
        <v>21</v>
      </c>
      <c r="F35" t="s">
        <v>541</v>
      </c>
      <c r="G35" t="s">
        <v>66</v>
      </c>
      <c r="H35" t="s">
        <v>60</v>
      </c>
      <c r="I35">
        <v>4</v>
      </c>
      <c r="J35" t="s">
        <v>66</v>
      </c>
      <c r="K35">
        <v>30</v>
      </c>
      <c r="L35" t="s">
        <v>22</v>
      </c>
    </row>
    <row r="36" spans="1:12" x14ac:dyDescent="0.25">
      <c r="A36" t="s">
        <v>547</v>
      </c>
      <c r="B36">
        <v>31</v>
      </c>
      <c r="C36" t="s">
        <v>264</v>
      </c>
      <c r="D36">
        <v>30</v>
      </c>
      <c r="E36" t="s">
        <v>22</v>
      </c>
      <c r="F36" t="s">
        <v>3</v>
      </c>
      <c r="G36" t="s">
        <v>237</v>
      </c>
      <c r="H36" t="s">
        <v>60</v>
      </c>
      <c r="I36">
        <v>5</v>
      </c>
      <c r="J36" t="s">
        <v>237</v>
      </c>
      <c r="K36">
        <v>30</v>
      </c>
      <c r="L36" t="s">
        <v>22</v>
      </c>
    </row>
    <row r="37" spans="1:12" x14ac:dyDescent="0.25">
      <c r="A37" t="s">
        <v>547</v>
      </c>
      <c r="B37">
        <v>39</v>
      </c>
      <c r="C37" t="s">
        <v>549</v>
      </c>
      <c r="D37">
        <v>30</v>
      </c>
      <c r="E37" t="s">
        <v>22</v>
      </c>
      <c r="F37" t="s">
        <v>3</v>
      </c>
      <c r="G37" t="s">
        <v>247</v>
      </c>
      <c r="H37" t="s">
        <v>60</v>
      </c>
      <c r="I37">
        <v>6</v>
      </c>
      <c r="J37" t="s">
        <v>247</v>
      </c>
      <c r="K37">
        <v>30</v>
      </c>
      <c r="L37" t="s">
        <v>22</v>
      </c>
    </row>
    <row r="38" spans="1:12" x14ac:dyDescent="0.25">
      <c r="A38" t="s">
        <v>63</v>
      </c>
      <c r="B38">
        <v>1</v>
      </c>
      <c r="C38" t="s">
        <v>550</v>
      </c>
      <c r="D38">
        <v>30</v>
      </c>
      <c r="E38" t="s">
        <v>21</v>
      </c>
      <c r="F38" t="s">
        <v>541</v>
      </c>
      <c r="G38" t="s">
        <v>241</v>
      </c>
      <c r="H38" t="s">
        <v>60</v>
      </c>
      <c r="I38">
        <v>7</v>
      </c>
      <c r="J38" t="s">
        <v>241</v>
      </c>
      <c r="K38">
        <v>60</v>
      </c>
      <c r="L38" t="s">
        <v>22</v>
      </c>
    </row>
    <row r="39" spans="1:12" x14ac:dyDescent="0.25">
      <c r="A39" t="s">
        <v>63</v>
      </c>
      <c r="B39">
        <v>2</v>
      </c>
      <c r="C39" t="s">
        <v>551</v>
      </c>
      <c r="D39">
        <v>30</v>
      </c>
      <c r="E39" t="s">
        <v>22</v>
      </c>
      <c r="F39" t="s">
        <v>541</v>
      </c>
      <c r="G39" t="s">
        <v>242</v>
      </c>
      <c r="H39" t="s">
        <v>60</v>
      </c>
      <c r="I39">
        <v>8</v>
      </c>
      <c r="J39" t="s">
        <v>242</v>
      </c>
      <c r="K39">
        <v>60</v>
      </c>
      <c r="L39" t="s">
        <v>22</v>
      </c>
    </row>
    <row r="40" spans="1:12" x14ac:dyDescent="0.25">
      <c r="A40" t="s">
        <v>64</v>
      </c>
      <c r="B40">
        <v>1</v>
      </c>
      <c r="C40" t="s">
        <v>279</v>
      </c>
      <c r="D40">
        <v>30</v>
      </c>
      <c r="E40" t="s">
        <v>21</v>
      </c>
      <c r="F40" t="s">
        <v>541</v>
      </c>
      <c r="G40" t="s">
        <v>552</v>
      </c>
      <c r="H40" t="s">
        <v>63</v>
      </c>
      <c r="I40">
        <v>3</v>
      </c>
      <c r="J40" t="s">
        <v>552</v>
      </c>
      <c r="K40">
        <v>30</v>
      </c>
      <c r="L40" t="s">
        <v>22</v>
      </c>
    </row>
    <row r="41" spans="1:12" x14ac:dyDescent="0.25">
      <c r="A41" t="s">
        <v>64</v>
      </c>
      <c r="B41">
        <v>2</v>
      </c>
      <c r="C41" t="s">
        <v>280</v>
      </c>
      <c r="D41">
        <v>30</v>
      </c>
      <c r="E41" t="s">
        <v>22</v>
      </c>
      <c r="F41" t="s">
        <v>541</v>
      </c>
      <c r="G41" t="s">
        <v>553</v>
      </c>
      <c r="H41" t="s">
        <v>63</v>
      </c>
      <c r="I41">
        <v>4</v>
      </c>
      <c r="J41" t="s">
        <v>553</v>
      </c>
      <c r="K41">
        <v>30</v>
      </c>
      <c r="L41" t="s">
        <v>22</v>
      </c>
    </row>
    <row r="42" spans="1:12" x14ac:dyDescent="0.25">
      <c r="A42" t="s">
        <v>69</v>
      </c>
      <c r="B42">
        <v>1</v>
      </c>
      <c r="C42" t="s">
        <v>304</v>
      </c>
      <c r="D42">
        <v>30</v>
      </c>
      <c r="E42" t="s">
        <v>21</v>
      </c>
      <c r="F42" t="s">
        <v>541</v>
      </c>
      <c r="G42" t="s">
        <v>554</v>
      </c>
      <c r="H42" t="s">
        <v>63</v>
      </c>
      <c r="I42">
        <v>5</v>
      </c>
      <c r="J42" t="s">
        <v>554</v>
      </c>
      <c r="K42">
        <v>30</v>
      </c>
      <c r="L42" t="s">
        <v>22</v>
      </c>
    </row>
    <row r="43" spans="1:12" x14ac:dyDescent="0.25">
      <c r="A43" t="s">
        <v>69</v>
      </c>
      <c r="B43">
        <v>2</v>
      </c>
      <c r="C43" t="s">
        <v>305</v>
      </c>
      <c r="D43">
        <v>30</v>
      </c>
      <c r="E43" t="s">
        <v>22</v>
      </c>
      <c r="F43" t="s">
        <v>541</v>
      </c>
      <c r="G43" t="s">
        <v>281</v>
      </c>
      <c r="H43" t="s">
        <v>64</v>
      </c>
      <c r="I43">
        <v>3</v>
      </c>
      <c r="J43" t="s">
        <v>281</v>
      </c>
      <c r="K43">
        <v>30</v>
      </c>
      <c r="L43" t="s">
        <v>22</v>
      </c>
    </row>
    <row r="44" spans="1:12" x14ac:dyDescent="0.25">
      <c r="A44" t="s">
        <v>69</v>
      </c>
      <c r="B44">
        <v>3</v>
      </c>
      <c r="C44" t="s">
        <v>306</v>
      </c>
      <c r="D44">
        <v>30</v>
      </c>
      <c r="E44" t="s">
        <v>22</v>
      </c>
      <c r="F44" t="s">
        <v>3</v>
      </c>
      <c r="G44" t="s">
        <v>294</v>
      </c>
      <c r="H44" t="s">
        <v>64</v>
      </c>
      <c r="I44">
        <v>4</v>
      </c>
      <c r="J44" t="s">
        <v>294</v>
      </c>
      <c r="K44">
        <v>30</v>
      </c>
      <c r="L44" t="s">
        <v>22</v>
      </c>
    </row>
    <row r="45" spans="1:12" x14ac:dyDescent="0.25">
      <c r="A45" t="s">
        <v>70</v>
      </c>
      <c r="B45">
        <v>1</v>
      </c>
      <c r="C45" t="s">
        <v>327</v>
      </c>
      <c r="D45">
        <v>30</v>
      </c>
      <c r="E45" t="s">
        <v>21</v>
      </c>
      <c r="F45" t="s">
        <v>541</v>
      </c>
      <c r="G45" t="s">
        <v>295</v>
      </c>
      <c r="H45" t="s">
        <v>64</v>
      </c>
      <c r="I45">
        <v>5</v>
      </c>
      <c r="J45" t="s">
        <v>295</v>
      </c>
      <c r="K45">
        <v>30</v>
      </c>
      <c r="L45" t="s">
        <v>22</v>
      </c>
    </row>
    <row r="46" spans="1:12" x14ac:dyDescent="0.25">
      <c r="A46" t="s">
        <v>70</v>
      </c>
      <c r="B46">
        <v>3</v>
      </c>
      <c r="C46" t="s">
        <v>329</v>
      </c>
      <c r="D46">
        <v>30</v>
      </c>
      <c r="E46" t="s">
        <v>22</v>
      </c>
      <c r="F46" t="s">
        <v>541</v>
      </c>
      <c r="G46" t="s">
        <v>296</v>
      </c>
      <c r="H46" t="s">
        <v>64</v>
      </c>
      <c r="I46">
        <v>6</v>
      </c>
      <c r="J46" t="s">
        <v>296</v>
      </c>
      <c r="K46">
        <v>30</v>
      </c>
      <c r="L46" t="s">
        <v>22</v>
      </c>
    </row>
    <row r="47" spans="1:12" x14ac:dyDescent="0.25">
      <c r="A47" t="s">
        <v>73</v>
      </c>
      <c r="B47">
        <v>1</v>
      </c>
      <c r="C47" t="s">
        <v>356</v>
      </c>
      <c r="D47">
        <v>30</v>
      </c>
      <c r="E47" t="s">
        <v>21</v>
      </c>
      <c r="F47" t="s">
        <v>541</v>
      </c>
      <c r="G47" t="s">
        <v>282</v>
      </c>
      <c r="H47" t="s">
        <v>64</v>
      </c>
      <c r="I47">
        <v>7</v>
      </c>
      <c r="J47" t="s">
        <v>282</v>
      </c>
      <c r="K47">
        <v>30</v>
      </c>
      <c r="L47" t="s">
        <v>22</v>
      </c>
    </row>
    <row r="48" spans="1:12" x14ac:dyDescent="0.25">
      <c r="A48" t="s">
        <v>73</v>
      </c>
      <c r="B48">
        <v>2</v>
      </c>
      <c r="C48" t="s">
        <v>357</v>
      </c>
      <c r="D48">
        <v>30</v>
      </c>
      <c r="E48" t="s">
        <v>22</v>
      </c>
      <c r="F48" t="s">
        <v>541</v>
      </c>
      <c r="G48" t="s">
        <v>283</v>
      </c>
      <c r="H48" t="s">
        <v>64</v>
      </c>
      <c r="I48">
        <v>8</v>
      </c>
      <c r="J48" t="s">
        <v>283</v>
      </c>
      <c r="K48">
        <v>30</v>
      </c>
      <c r="L48" t="s">
        <v>22</v>
      </c>
    </row>
    <row r="49" spans="1:12" x14ac:dyDescent="0.25">
      <c r="A49" t="s">
        <v>74</v>
      </c>
      <c r="B49">
        <v>1</v>
      </c>
      <c r="C49" t="s">
        <v>384</v>
      </c>
      <c r="D49">
        <v>30</v>
      </c>
      <c r="E49" t="s">
        <v>21</v>
      </c>
      <c r="F49" t="s">
        <v>541</v>
      </c>
      <c r="G49" t="s">
        <v>310</v>
      </c>
      <c r="H49" t="s">
        <v>69</v>
      </c>
      <c r="I49">
        <v>4</v>
      </c>
      <c r="J49" t="s">
        <v>310</v>
      </c>
      <c r="K49">
        <v>30</v>
      </c>
      <c r="L49" t="s">
        <v>22</v>
      </c>
    </row>
    <row r="50" spans="1:12" x14ac:dyDescent="0.25">
      <c r="A50" t="s">
        <v>74</v>
      </c>
      <c r="B50">
        <v>2</v>
      </c>
      <c r="C50" t="s">
        <v>385</v>
      </c>
      <c r="D50">
        <v>30</v>
      </c>
      <c r="E50" t="s">
        <v>22</v>
      </c>
      <c r="F50" t="s">
        <v>541</v>
      </c>
      <c r="G50" t="s">
        <v>311</v>
      </c>
      <c r="H50" t="s">
        <v>69</v>
      </c>
      <c r="I50">
        <v>5</v>
      </c>
      <c r="J50" t="s">
        <v>311</v>
      </c>
      <c r="K50">
        <v>30</v>
      </c>
      <c r="L50" t="s">
        <v>22</v>
      </c>
    </row>
    <row r="51" spans="1:12" x14ac:dyDescent="0.25">
      <c r="A51" t="s">
        <v>79</v>
      </c>
      <c r="B51">
        <v>1</v>
      </c>
      <c r="C51" t="s">
        <v>432</v>
      </c>
      <c r="D51">
        <v>30</v>
      </c>
      <c r="E51" t="s">
        <v>21</v>
      </c>
      <c r="F51" t="s">
        <v>541</v>
      </c>
      <c r="G51" t="s">
        <v>312</v>
      </c>
      <c r="H51" t="s">
        <v>69</v>
      </c>
      <c r="I51">
        <v>6</v>
      </c>
      <c r="J51" t="s">
        <v>312</v>
      </c>
      <c r="K51">
        <v>30</v>
      </c>
      <c r="L51" t="s">
        <v>22</v>
      </c>
    </row>
    <row r="52" spans="1:12" x14ac:dyDescent="0.25">
      <c r="A52" t="s">
        <v>79</v>
      </c>
      <c r="B52">
        <v>2</v>
      </c>
      <c r="C52" t="s">
        <v>433</v>
      </c>
      <c r="D52">
        <v>30</v>
      </c>
      <c r="E52" t="s">
        <v>22</v>
      </c>
      <c r="F52" t="s">
        <v>541</v>
      </c>
      <c r="G52" t="s">
        <v>313</v>
      </c>
      <c r="H52" t="s">
        <v>69</v>
      </c>
      <c r="I52">
        <v>7</v>
      </c>
      <c r="J52" t="s">
        <v>313</v>
      </c>
      <c r="K52">
        <v>30</v>
      </c>
      <c r="L52" t="s">
        <v>22</v>
      </c>
    </row>
    <row r="53" spans="1:12" x14ac:dyDescent="0.25">
      <c r="A53" t="s">
        <v>80</v>
      </c>
      <c r="B53">
        <v>1</v>
      </c>
      <c r="C53" t="s">
        <v>453</v>
      </c>
      <c r="D53">
        <v>30</v>
      </c>
      <c r="E53" t="s">
        <v>21</v>
      </c>
      <c r="F53" t="s">
        <v>541</v>
      </c>
      <c r="G53" t="s">
        <v>314</v>
      </c>
      <c r="H53" t="s">
        <v>69</v>
      </c>
      <c r="I53">
        <v>8</v>
      </c>
      <c r="J53" t="s">
        <v>314</v>
      </c>
      <c r="K53">
        <v>30</v>
      </c>
      <c r="L53" t="s">
        <v>22</v>
      </c>
    </row>
    <row r="54" spans="1:12" x14ac:dyDescent="0.25">
      <c r="A54" t="s">
        <v>80</v>
      </c>
      <c r="B54">
        <v>2</v>
      </c>
      <c r="C54" t="s">
        <v>454</v>
      </c>
      <c r="D54">
        <v>30</v>
      </c>
      <c r="E54" t="s">
        <v>22</v>
      </c>
      <c r="F54" t="s">
        <v>541</v>
      </c>
      <c r="G54" t="s">
        <v>344</v>
      </c>
      <c r="H54" t="s">
        <v>70</v>
      </c>
      <c r="I54">
        <v>4</v>
      </c>
      <c r="J54" t="s">
        <v>344</v>
      </c>
      <c r="K54">
        <v>30</v>
      </c>
      <c r="L54" t="s">
        <v>22</v>
      </c>
    </row>
    <row r="55" spans="1:12" x14ac:dyDescent="0.25">
      <c r="A55" t="s">
        <v>81</v>
      </c>
      <c r="B55">
        <v>1</v>
      </c>
      <c r="C55" t="s">
        <v>453</v>
      </c>
      <c r="D55">
        <v>30</v>
      </c>
      <c r="E55" t="s">
        <v>21</v>
      </c>
      <c r="F55" t="s">
        <v>3</v>
      </c>
      <c r="G55" t="s">
        <v>345</v>
      </c>
      <c r="H55" t="s">
        <v>70</v>
      </c>
      <c r="I55">
        <v>5</v>
      </c>
      <c r="J55" t="s">
        <v>345</v>
      </c>
      <c r="K55">
        <v>30</v>
      </c>
      <c r="L55" t="s">
        <v>22</v>
      </c>
    </row>
    <row r="56" spans="1:12" x14ac:dyDescent="0.25">
      <c r="A56" t="s">
        <v>81</v>
      </c>
      <c r="B56">
        <v>2</v>
      </c>
      <c r="C56" t="s">
        <v>454</v>
      </c>
      <c r="D56">
        <v>30</v>
      </c>
      <c r="E56" t="s">
        <v>22</v>
      </c>
      <c r="F56" t="s">
        <v>3</v>
      </c>
      <c r="G56" t="s">
        <v>346</v>
      </c>
      <c r="H56" t="s">
        <v>70</v>
      </c>
      <c r="I56">
        <v>6</v>
      </c>
      <c r="J56" t="s">
        <v>346</v>
      </c>
      <c r="K56">
        <v>30</v>
      </c>
      <c r="L56" t="s">
        <v>22</v>
      </c>
    </row>
    <row r="57" spans="1:12" x14ac:dyDescent="0.25">
      <c r="A57" t="s">
        <v>81</v>
      </c>
      <c r="B57">
        <v>3</v>
      </c>
      <c r="C57" t="s">
        <v>558</v>
      </c>
      <c r="D57">
        <v>30</v>
      </c>
      <c r="E57" t="s">
        <v>22</v>
      </c>
      <c r="F57" t="s">
        <v>3</v>
      </c>
      <c r="G57" t="s">
        <v>347</v>
      </c>
      <c r="H57" t="s">
        <v>70</v>
      </c>
      <c r="I57">
        <v>7</v>
      </c>
      <c r="J57" t="s">
        <v>347</v>
      </c>
      <c r="K57">
        <v>30</v>
      </c>
      <c r="L57" t="s">
        <v>22</v>
      </c>
    </row>
    <row r="58" spans="1:12" x14ac:dyDescent="0.25">
      <c r="A58" t="s">
        <v>85</v>
      </c>
      <c r="B58">
        <v>1</v>
      </c>
      <c r="C58" t="s">
        <v>482</v>
      </c>
      <c r="D58">
        <v>30</v>
      </c>
      <c r="E58" t="s">
        <v>21</v>
      </c>
      <c r="F58" t="s">
        <v>541</v>
      </c>
      <c r="G58" t="s">
        <v>349</v>
      </c>
      <c r="H58" t="s">
        <v>70</v>
      </c>
      <c r="I58">
        <v>9</v>
      </c>
      <c r="J58" t="s">
        <v>349</v>
      </c>
      <c r="K58">
        <v>30</v>
      </c>
      <c r="L58" t="s">
        <v>22</v>
      </c>
    </row>
    <row r="59" spans="1:12" x14ac:dyDescent="0.25">
      <c r="A59" t="s">
        <v>85</v>
      </c>
      <c r="B59">
        <v>2</v>
      </c>
      <c r="C59" t="s">
        <v>483</v>
      </c>
      <c r="D59">
        <v>30</v>
      </c>
      <c r="E59" t="s">
        <v>22</v>
      </c>
      <c r="F59" t="s">
        <v>541</v>
      </c>
      <c r="G59" t="s">
        <v>333</v>
      </c>
      <c r="H59" t="s">
        <v>70</v>
      </c>
      <c r="I59">
        <v>10</v>
      </c>
      <c r="J59" t="s">
        <v>333</v>
      </c>
      <c r="K59">
        <v>60</v>
      </c>
      <c r="L59" t="s">
        <v>22</v>
      </c>
    </row>
    <row r="60" spans="1:12" x14ac:dyDescent="0.25">
      <c r="A60" t="s">
        <v>86</v>
      </c>
      <c r="B60">
        <v>1</v>
      </c>
      <c r="C60" t="s">
        <v>482</v>
      </c>
      <c r="D60">
        <v>30</v>
      </c>
      <c r="E60" t="s">
        <v>21</v>
      </c>
      <c r="F60" t="s">
        <v>3</v>
      </c>
      <c r="G60" t="s">
        <v>336</v>
      </c>
      <c r="H60" t="s">
        <v>70</v>
      </c>
      <c r="I60">
        <v>13</v>
      </c>
      <c r="J60" t="s">
        <v>336</v>
      </c>
      <c r="K60">
        <v>60</v>
      </c>
      <c r="L60" t="s">
        <v>22</v>
      </c>
    </row>
    <row r="61" spans="1:12" x14ac:dyDescent="0.25">
      <c r="A61" t="s">
        <v>86</v>
      </c>
      <c r="B61">
        <v>2</v>
      </c>
      <c r="C61" t="s">
        <v>483</v>
      </c>
      <c r="D61">
        <v>30</v>
      </c>
      <c r="E61" t="s">
        <v>22</v>
      </c>
      <c r="F61" t="s">
        <v>3</v>
      </c>
      <c r="G61" t="s">
        <v>362</v>
      </c>
      <c r="H61" t="s">
        <v>73</v>
      </c>
      <c r="I61">
        <v>3</v>
      </c>
      <c r="J61" t="s">
        <v>362</v>
      </c>
      <c r="K61">
        <v>30</v>
      </c>
      <c r="L61" t="s">
        <v>22</v>
      </c>
    </row>
    <row r="62" spans="1:12" x14ac:dyDescent="0.25">
      <c r="A62" t="s">
        <v>86</v>
      </c>
      <c r="B62">
        <v>3</v>
      </c>
      <c r="C62" t="s">
        <v>525</v>
      </c>
      <c r="D62">
        <v>30</v>
      </c>
      <c r="E62" t="s">
        <v>22</v>
      </c>
      <c r="F62" t="s">
        <v>3</v>
      </c>
      <c r="G62" t="s">
        <v>363</v>
      </c>
      <c r="H62" t="s">
        <v>73</v>
      </c>
      <c r="I62">
        <v>4</v>
      </c>
      <c r="J62" t="s">
        <v>363</v>
      </c>
      <c r="K62">
        <v>30</v>
      </c>
      <c r="L62" t="s">
        <v>22</v>
      </c>
    </row>
    <row r="63" spans="1:12" x14ac:dyDescent="0.25">
      <c r="A63" t="s">
        <v>568</v>
      </c>
      <c r="B63">
        <v>1</v>
      </c>
      <c r="C63" t="s">
        <v>567</v>
      </c>
      <c r="D63">
        <v>30</v>
      </c>
      <c r="E63" t="s">
        <v>21</v>
      </c>
      <c r="F63" t="s">
        <v>541</v>
      </c>
      <c r="G63" t="s">
        <v>364</v>
      </c>
      <c r="H63" t="s">
        <v>73</v>
      </c>
      <c r="I63">
        <v>5</v>
      </c>
      <c r="J63" t="s">
        <v>364</v>
      </c>
      <c r="K63">
        <v>30</v>
      </c>
      <c r="L63" t="s">
        <v>22</v>
      </c>
    </row>
    <row r="64" spans="1:12" x14ac:dyDescent="0.25">
      <c r="A64" t="s">
        <v>568</v>
      </c>
      <c r="B64">
        <v>2</v>
      </c>
      <c r="C64" t="s">
        <v>569</v>
      </c>
      <c r="D64">
        <v>30</v>
      </c>
      <c r="E64" t="s">
        <v>22</v>
      </c>
      <c r="F64" t="s">
        <v>541</v>
      </c>
      <c r="G64" t="s">
        <v>365</v>
      </c>
      <c r="H64" t="s">
        <v>73</v>
      </c>
      <c r="I64">
        <v>6</v>
      </c>
      <c r="J64" t="s">
        <v>365</v>
      </c>
      <c r="K64">
        <v>30</v>
      </c>
      <c r="L64" t="s">
        <v>22</v>
      </c>
    </row>
    <row r="65" spans="1:12" x14ac:dyDescent="0.25">
      <c r="A65" t="s">
        <v>568</v>
      </c>
      <c r="B65">
        <v>3</v>
      </c>
      <c r="C65" t="s">
        <v>570</v>
      </c>
      <c r="D65">
        <v>60</v>
      </c>
      <c r="E65" t="s">
        <v>22</v>
      </c>
      <c r="F65" t="s">
        <v>3</v>
      </c>
      <c r="G65" t="s">
        <v>366</v>
      </c>
      <c r="H65" t="s">
        <v>73</v>
      </c>
      <c r="I65">
        <v>7</v>
      </c>
      <c r="J65" t="s">
        <v>366</v>
      </c>
      <c r="K65">
        <v>30</v>
      </c>
      <c r="L65" t="s">
        <v>22</v>
      </c>
    </row>
    <row r="66" spans="1:12" x14ac:dyDescent="0.25">
      <c r="G66" t="s">
        <v>390</v>
      </c>
      <c r="H66" t="s">
        <v>74</v>
      </c>
      <c r="I66">
        <v>3</v>
      </c>
      <c r="J66" t="s">
        <v>390</v>
      </c>
      <c r="K66">
        <v>60</v>
      </c>
      <c r="L66" t="s">
        <v>22</v>
      </c>
    </row>
    <row r="67" spans="1:12" x14ac:dyDescent="0.25">
      <c r="G67" t="s">
        <v>391</v>
      </c>
      <c r="H67" t="s">
        <v>74</v>
      </c>
      <c r="I67">
        <v>4</v>
      </c>
      <c r="J67" t="s">
        <v>391</v>
      </c>
      <c r="K67">
        <v>60</v>
      </c>
      <c r="L67" t="s">
        <v>22</v>
      </c>
    </row>
    <row r="68" spans="1:12" x14ac:dyDescent="0.25">
      <c r="G68" t="s">
        <v>392</v>
      </c>
      <c r="H68" t="s">
        <v>74</v>
      </c>
      <c r="I68">
        <v>5</v>
      </c>
      <c r="J68" t="s">
        <v>392</v>
      </c>
      <c r="K68">
        <v>60</v>
      </c>
      <c r="L68" t="s">
        <v>22</v>
      </c>
    </row>
    <row r="69" spans="1:12" x14ac:dyDescent="0.25">
      <c r="G69" t="s">
        <v>393</v>
      </c>
      <c r="H69" t="s">
        <v>74</v>
      </c>
      <c r="I69">
        <v>6</v>
      </c>
      <c r="J69" t="s">
        <v>393</v>
      </c>
      <c r="K69">
        <v>60</v>
      </c>
      <c r="L69" t="s">
        <v>22</v>
      </c>
    </row>
    <row r="70" spans="1:12" x14ac:dyDescent="0.25">
      <c r="G70" t="s">
        <v>394</v>
      </c>
      <c r="H70" t="s">
        <v>74</v>
      </c>
      <c r="I70">
        <v>7</v>
      </c>
      <c r="J70" t="s">
        <v>394</v>
      </c>
      <c r="K70">
        <v>60</v>
      </c>
      <c r="L70" t="s">
        <v>22</v>
      </c>
    </row>
    <row r="71" spans="1:12" x14ac:dyDescent="0.25">
      <c r="G71" t="s">
        <v>438</v>
      </c>
      <c r="H71" t="s">
        <v>79</v>
      </c>
      <c r="I71">
        <v>3</v>
      </c>
      <c r="J71" t="s">
        <v>438</v>
      </c>
      <c r="K71">
        <v>30</v>
      </c>
      <c r="L71" t="s">
        <v>22</v>
      </c>
    </row>
    <row r="72" spans="1:12" x14ac:dyDescent="0.25">
      <c r="G72" t="s">
        <v>439</v>
      </c>
      <c r="H72" t="s">
        <v>79</v>
      </c>
      <c r="I72">
        <v>4</v>
      </c>
      <c r="J72" t="s">
        <v>439</v>
      </c>
      <c r="K72">
        <v>30</v>
      </c>
      <c r="L72" t="s">
        <v>22</v>
      </c>
    </row>
    <row r="73" spans="1:12" x14ac:dyDescent="0.25">
      <c r="G73" t="s">
        <v>440</v>
      </c>
      <c r="H73" t="s">
        <v>79</v>
      </c>
      <c r="I73">
        <v>5</v>
      </c>
      <c r="J73" t="s">
        <v>440</v>
      </c>
      <c r="K73">
        <v>30</v>
      </c>
      <c r="L73" t="s">
        <v>22</v>
      </c>
    </row>
    <row r="74" spans="1:12" x14ac:dyDescent="0.25">
      <c r="G74" t="s">
        <v>455</v>
      </c>
      <c r="H74" t="s">
        <v>80</v>
      </c>
      <c r="I74">
        <v>3</v>
      </c>
      <c r="J74" t="s">
        <v>455</v>
      </c>
      <c r="K74">
        <v>30</v>
      </c>
      <c r="L74" t="s">
        <v>22</v>
      </c>
    </row>
    <row r="75" spans="1:12" x14ac:dyDescent="0.25">
      <c r="G75" t="s">
        <v>456</v>
      </c>
      <c r="H75" t="s">
        <v>80</v>
      </c>
      <c r="I75">
        <v>4</v>
      </c>
      <c r="J75" t="s">
        <v>456</v>
      </c>
      <c r="K75">
        <v>30</v>
      </c>
      <c r="L75" t="s">
        <v>22</v>
      </c>
    </row>
    <row r="76" spans="1:12" x14ac:dyDescent="0.25">
      <c r="G76" t="s">
        <v>457</v>
      </c>
      <c r="H76" t="s">
        <v>80</v>
      </c>
      <c r="I76">
        <v>5</v>
      </c>
      <c r="J76" t="s">
        <v>457</v>
      </c>
      <c r="K76">
        <v>30</v>
      </c>
      <c r="L76" t="s">
        <v>22</v>
      </c>
    </row>
    <row r="77" spans="1:12" x14ac:dyDescent="0.25">
      <c r="G77" t="s">
        <v>467</v>
      </c>
      <c r="H77" t="s">
        <v>80</v>
      </c>
      <c r="I77">
        <v>6</v>
      </c>
      <c r="J77" t="s">
        <v>467</v>
      </c>
      <c r="K77">
        <v>30</v>
      </c>
      <c r="L77" t="s">
        <v>22</v>
      </c>
    </row>
    <row r="78" spans="1:12" x14ac:dyDescent="0.25">
      <c r="G78" t="s">
        <v>455</v>
      </c>
      <c r="H78" t="s">
        <v>81</v>
      </c>
      <c r="I78">
        <v>4</v>
      </c>
      <c r="J78" t="s">
        <v>455</v>
      </c>
      <c r="K78">
        <v>30</v>
      </c>
      <c r="L78" t="s">
        <v>22</v>
      </c>
    </row>
    <row r="79" spans="1:12" x14ac:dyDescent="0.25">
      <c r="G79" t="s">
        <v>456</v>
      </c>
      <c r="H79" t="s">
        <v>81</v>
      </c>
      <c r="I79">
        <v>5</v>
      </c>
      <c r="J79" t="s">
        <v>456</v>
      </c>
      <c r="K79">
        <v>30</v>
      </c>
      <c r="L79" t="s">
        <v>22</v>
      </c>
    </row>
    <row r="80" spans="1:12" x14ac:dyDescent="0.25">
      <c r="G80" t="s">
        <v>467</v>
      </c>
      <c r="H80" t="s">
        <v>81</v>
      </c>
      <c r="I80">
        <v>6</v>
      </c>
      <c r="J80" t="s">
        <v>467</v>
      </c>
      <c r="K80">
        <v>30</v>
      </c>
      <c r="L80" t="s">
        <v>22</v>
      </c>
    </row>
    <row r="81" spans="7:12" x14ac:dyDescent="0.25">
      <c r="G81" t="s">
        <v>484</v>
      </c>
      <c r="H81" t="s">
        <v>85</v>
      </c>
      <c r="I81">
        <v>3</v>
      </c>
      <c r="J81" t="s">
        <v>484</v>
      </c>
      <c r="K81">
        <v>30</v>
      </c>
      <c r="L81" t="s">
        <v>22</v>
      </c>
    </row>
    <row r="82" spans="7:12" x14ac:dyDescent="0.25">
      <c r="G82" t="s">
        <v>485</v>
      </c>
      <c r="H82" t="s">
        <v>85</v>
      </c>
      <c r="I82">
        <v>4</v>
      </c>
      <c r="J82" t="s">
        <v>485</v>
      </c>
      <c r="K82">
        <v>30</v>
      </c>
      <c r="L82" t="s">
        <v>22</v>
      </c>
    </row>
    <row r="83" spans="7:12" x14ac:dyDescent="0.25">
      <c r="G83" t="s">
        <v>486</v>
      </c>
      <c r="H83" t="s">
        <v>85</v>
      </c>
      <c r="I83">
        <v>5</v>
      </c>
      <c r="J83" t="s">
        <v>486</v>
      </c>
      <c r="K83">
        <v>30</v>
      </c>
      <c r="L83" t="s">
        <v>22</v>
      </c>
    </row>
    <row r="84" spans="7:12" x14ac:dyDescent="0.25">
      <c r="G84" t="s">
        <v>525</v>
      </c>
      <c r="H84" t="s">
        <v>85</v>
      </c>
      <c r="I84">
        <v>6</v>
      </c>
      <c r="J84" t="s">
        <v>525</v>
      </c>
      <c r="K84">
        <v>30</v>
      </c>
      <c r="L84" t="s">
        <v>22</v>
      </c>
    </row>
    <row r="85" spans="7:12" x14ac:dyDescent="0.25">
      <c r="G85" t="s">
        <v>485</v>
      </c>
      <c r="H85" t="s">
        <v>86</v>
      </c>
      <c r="I85">
        <v>4</v>
      </c>
      <c r="J85" t="s">
        <v>485</v>
      </c>
      <c r="K85">
        <v>30</v>
      </c>
      <c r="L85" t="s">
        <v>22</v>
      </c>
    </row>
    <row r="86" spans="7:12" x14ac:dyDescent="0.25">
      <c r="G86" t="s">
        <v>486</v>
      </c>
      <c r="H86" t="s">
        <v>86</v>
      </c>
      <c r="I86">
        <v>5</v>
      </c>
      <c r="J86" t="s">
        <v>486</v>
      </c>
      <c r="K86">
        <v>30</v>
      </c>
      <c r="L86" t="s">
        <v>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S8"/>
  <sheetViews>
    <sheetView workbookViewId="0">
      <selection activeCell="BS2" sqref="BS2:BS3"/>
    </sheetView>
  </sheetViews>
  <sheetFormatPr defaultRowHeight="15" x14ac:dyDescent="0.25"/>
  <cols>
    <col min="3" max="3" width="49.7109375" bestFit="1" customWidth="1"/>
    <col min="7" max="7" width="37.5703125" bestFit="1" customWidth="1"/>
    <col min="11" max="11" width="37.5703125" bestFit="1" customWidth="1"/>
    <col min="15" max="15" width="56.7109375" bestFit="1" customWidth="1"/>
    <col min="19" max="19" width="56.7109375" bestFit="1" customWidth="1"/>
    <col min="23" max="23" width="30.42578125" bestFit="1" customWidth="1"/>
    <col min="27" max="27" width="38.7109375" bestFit="1" customWidth="1"/>
    <col min="31" max="31" width="34.5703125" bestFit="1" customWidth="1"/>
    <col min="35" max="35" width="46.7109375" bestFit="1" customWidth="1"/>
    <col min="39" max="39" width="54.5703125" bestFit="1" customWidth="1"/>
    <col min="43" max="43" width="25.140625" bestFit="1" customWidth="1"/>
    <col min="47" max="47" width="29.140625" bestFit="1" customWidth="1"/>
    <col min="51" max="51" width="31.28515625" bestFit="1" customWidth="1"/>
    <col min="55" max="55" width="47.140625" bestFit="1" customWidth="1"/>
    <col min="59" max="59" width="31.5703125" bestFit="1" customWidth="1"/>
    <col min="63" max="63" width="31.5703125" bestFit="1" customWidth="1"/>
    <col min="67" max="67" width="45.85546875" bestFit="1" customWidth="1"/>
  </cols>
  <sheetData>
    <row r="1" spans="1:71" x14ac:dyDescent="0.25">
      <c r="A1" t="s">
        <v>517</v>
      </c>
      <c r="E1" t="s">
        <v>538</v>
      </c>
      <c r="I1" t="s">
        <v>540</v>
      </c>
      <c r="M1" t="s">
        <v>542</v>
      </c>
      <c r="Q1" t="s">
        <v>543</v>
      </c>
      <c r="U1" t="s">
        <v>544</v>
      </c>
      <c r="Y1" t="s">
        <v>60</v>
      </c>
      <c r="AC1" t="s">
        <v>63</v>
      </c>
      <c r="AG1" t="s">
        <v>521</v>
      </c>
      <c r="AK1" t="s">
        <v>555</v>
      </c>
      <c r="AO1" t="s">
        <v>556</v>
      </c>
      <c r="AS1" t="s">
        <v>73</v>
      </c>
      <c r="AW1" t="s">
        <v>557</v>
      </c>
      <c r="BA1" t="s">
        <v>79</v>
      </c>
      <c r="BE1" t="s">
        <v>80</v>
      </c>
      <c r="BI1" t="s">
        <v>81</v>
      </c>
      <c r="BM1" t="s">
        <v>559</v>
      </c>
      <c r="BQ1" t="s">
        <v>560</v>
      </c>
    </row>
    <row r="2" spans="1:71" x14ac:dyDescent="0.25">
      <c r="A2" t="s">
        <v>113</v>
      </c>
      <c r="B2">
        <f>IF(COUNTIF(Award!$E$20:$E$83,A2)&gt;=1,"",ROW())</f>
        <v>2</v>
      </c>
      <c r="C2" t="str">
        <f t="shared" ref="C2" si="0">IF(ROW(A2)-ROW(A$2)+1&gt;COUNT(B$2:B$50),"",INDEX(A:A,SMALL(B$2:B$50,1+ROW(A2)-ROW(A$2))))</f>
        <v>Communicating Ideas in 2D</v>
      </c>
      <c r="E2" t="s">
        <v>154</v>
      </c>
      <c r="F2">
        <f>IF(COUNTIF(Award!$E$20:$E$83,E2)&gt;=1,"",ROW())</f>
        <v>2</v>
      </c>
      <c r="G2" t="str">
        <f t="shared" ref="G2" si="1">IF(ROW(E2)-ROW(E$2)+1&gt;COUNT(F$2:F$50),"",INDEX(E:E,SMALL(F$2:F$50,1+ROW(E2)-ROW(E$2))))</f>
        <v>Promoting a Brand</v>
      </c>
      <c r="I2" t="s">
        <v>154</v>
      </c>
      <c r="J2">
        <f>IF(COUNTIF(Award!$E$20:$E$83,I2)&gt;=1,"",ROW())</f>
        <v>2</v>
      </c>
      <c r="K2" t="str">
        <f t="shared" ref="K2" si="2">IF(ROW(I2)-ROW(I$2)+1&gt;COUNT(J$2:J$50),"",INDEX(I:I,SMALL(J$2:J$50,1+ROW(I2)-ROW(I$2))))</f>
        <v>Promoting a Brand</v>
      </c>
      <c r="M2" t="s">
        <v>187</v>
      </c>
      <c r="N2">
        <f>IF(COUNTIF(Award!$E$20:$E$83,M2)&gt;=1,"",ROW())</f>
        <v>2</v>
      </c>
      <c r="O2" t="str">
        <f t="shared" ref="O2" si="3">IF(ROW(M2)-ROW(M$2)+1&gt;COUNT(N$2:N$50),"",INDEX(M:M,SMALL(N$2:N$50,1+ROW(M2)-ROW(M$2))))</f>
        <v>Construction Processes and Operations</v>
      </c>
      <c r="Q2" t="s">
        <v>190</v>
      </c>
      <c r="R2">
        <f>IF(COUNTIF(Award!$E$20:$E$83,Q2)&gt;=1,"",ROW())</f>
        <v>2</v>
      </c>
      <c r="S2" t="str">
        <f t="shared" ref="S2" si="4">IF(ROW(Q2)-ROW(Q$2)+1&gt;COUNT(R$2:R$50),"",INDEX(Q:Q,SMALL(R$2:R$50,1+ROW(Q2)-ROW(Q$2))))</f>
        <v>Construction Drawing Techniques</v>
      </c>
      <c r="U2" t="s">
        <v>217</v>
      </c>
      <c r="V2">
        <f>IF(COUNTIF(Award!$E$20:$E$83,U2)&gt;=1,"",ROW())</f>
        <v>2</v>
      </c>
      <c r="W2" t="str">
        <f t="shared" ref="W2" si="5">IF(ROW(U2)-ROW(U$2)+1&gt;COUNT(V$2:V$50),"",INDEX(U:U,SMALL(V$2:V$50,1+ROW(U2)-ROW(U$2))))</f>
        <v>Digital Moving Image Production</v>
      </c>
      <c r="Y2" t="s">
        <v>236</v>
      </c>
      <c r="Z2">
        <f>IF(COUNTIF(Award!$E$20:$E$83,Y2)&gt;=1,"",ROW())</f>
        <v>2</v>
      </c>
      <c r="AA2" t="str">
        <f t="shared" ref="AA2" si="6">IF(ROW(Y2)-ROW(Y$2)+1&gt;COUNT(Z$2:Z$50),"",INDEX(Y:Y,SMALL(Z$2:Z$50,1+ROW(Y2)-ROW(Y$2))))</f>
        <v>Health and Safety in Engineering</v>
      </c>
      <c r="AC2" t="s">
        <v>552</v>
      </c>
      <c r="AD2">
        <f>IF(COUNTIF(Award!$E$20:$E$83,AC2)&gt;=1,"",ROW())</f>
        <v>2</v>
      </c>
      <c r="AE2" t="str">
        <f t="shared" ref="AE2" si="7">IF(ROW(AC2)-ROW(AC$2)+1&gt;COUNT(AD$2:AD$50),"",INDEX(AC:AC,SMALL(AD$2:AD$50,1+ROW(AC2)-ROW(AC$2))))</f>
        <v>Horse Handling</v>
      </c>
      <c r="AG2" t="s">
        <v>281</v>
      </c>
      <c r="AH2">
        <f>IF(COUNTIF(Award!$E$20:$E$83,AG2)&gt;=1,"",ROW())</f>
        <v>2</v>
      </c>
      <c r="AI2" t="str">
        <f t="shared" ref="AI2" si="8">IF(ROW(AG2)-ROW(AG$2)+1&gt;COUNT(AH$2:AH$50),"",INDEX(AG:AG,SMALL(AH$2:AH$50,1+ROW(AG2)-ROW(AG$2))))</f>
        <v>Effective Communication in Health and Social Care</v>
      </c>
      <c r="AK2" t="s">
        <v>310</v>
      </c>
      <c r="AL2">
        <f>IF(COUNTIF(Award!$E$20:$E$83,AK2)&gt;=1,"",ROW())</f>
        <v>2</v>
      </c>
      <c r="AM2" t="str">
        <f t="shared" ref="AM2" si="9">IF(ROW(AK2)-ROW(AK$2)+1&gt;COUNT(AL$2:AL$50),"",INDEX(AK:AK,SMALL(AL$2:AL$50,1+ROW(AK2)-ROW(AK$2))))</f>
        <v>Costing and Controlling Finances in the Hospitality Industry</v>
      </c>
      <c r="AO2" t="s">
        <v>344</v>
      </c>
      <c r="AP2">
        <f>IF(COUNTIF(Award!$E$20:$E$83,AO2)&gt;=1,"",ROW())</f>
        <v>2</v>
      </c>
      <c r="AQ2" t="str">
        <f t="shared" ref="AQ2" si="10">IF(ROW(AO2)-ROW(AO$2)+1&gt;COUNT(AP$2:AP$50),"",INDEX(AO:AO,SMALL(AP$2:AP$50,1+ROW(AO2)-ROW(AO$2))))</f>
        <v>Creating Digital Animation</v>
      </c>
      <c r="AS2" t="s">
        <v>362</v>
      </c>
      <c r="AT2">
        <f>IF(COUNTIF(Award!$E$20:$E$83,AS2)&gt;=1,"",ROW())</f>
        <v>2</v>
      </c>
      <c r="AU2" t="str">
        <f t="shared" ref="AU2" si="11">IF(ROW(AS2)-ROW(AS$2)+1&gt;COUNT(AT$2:AT$50),"",INDEX(AS:AS,SMALL(AT$2:AT$50,1+ROW(AS2)-ROW(AS$2))))</f>
        <v>Introducing Live Sound</v>
      </c>
      <c r="AW2" t="s">
        <v>390</v>
      </c>
      <c r="AX2">
        <f>IF(COUNTIF(Award!$E$20:$E$83,AW2)&gt;=1,"",ROW())</f>
        <v>2</v>
      </c>
      <c r="AY2" t="str">
        <f t="shared" ref="AY2" si="12">IF(ROW(AW2)-ROW(AW$2)+1&gt;COUNT(AX$2:AX$50),"",INDEX(AW:AW,SMALL(AX$2:AX$50,1+ROW(AW2)-ROW(AW$2))))</f>
        <v>Acting Skills</v>
      </c>
      <c r="BA2" t="s">
        <v>438</v>
      </c>
      <c r="BB2">
        <f>IF(COUNTIF(Award!$E$20:$E$83,BA2)&gt;=1,"",ROW())</f>
        <v>2</v>
      </c>
      <c r="BC2" t="str">
        <f t="shared" ref="BC2" si="13">IF(ROW(BA2)-ROW(BA$2)+1&gt;COUNT(BB$2:BB$50),"",INDEX(BA:BA,SMALL(BB$2:BB$50,1+ROW(BA2)-ROW(BA$2))))</f>
        <v>Employment in the Public Services</v>
      </c>
      <c r="BE2" t="s">
        <v>455</v>
      </c>
      <c r="BF2">
        <f>IF(COUNTIF(Award!$E$20:$E$83,BE2)&gt;=1,"",ROW())</f>
        <v>2</v>
      </c>
      <c r="BG2" t="str">
        <f t="shared" ref="BG2" si="14">IF(ROW(BE2)-ROW(BE$2)+1&gt;COUNT(BF$2:BF$50),"",INDEX(BE:BE,SMALL(BF$2:BF$50,1+ROW(BE2)-ROW(BE$2))))</f>
        <v>The Mind and Sports Performance</v>
      </c>
      <c r="BI2" t="s">
        <v>455</v>
      </c>
      <c r="BJ2">
        <f>IF(COUNTIF(Award!$E$20:$E$83,BI2)&gt;=1,"",ROW())</f>
        <v>2</v>
      </c>
      <c r="BK2" t="str">
        <f t="shared" ref="BK2" si="15">IF(ROW(BI2)-ROW(BI$2)+1&gt;COUNT(BJ$2:BJ$50),"",INDEX(BI:BI,SMALL(BJ$2:BJ$50,1+ROW(BI2)-ROW(BI$2))))</f>
        <v>The Mind and Sports Performance</v>
      </c>
      <c r="BM2" t="s">
        <v>484</v>
      </c>
      <c r="BN2">
        <f>IF(COUNTIF(Award!$E$20:$E$83,BM2)&gt;=1,"",ROW())</f>
        <v>2</v>
      </c>
      <c r="BO2" t="str">
        <f t="shared" ref="BO2" si="16">IF(ROW(BM2)-ROW(BM$2)+1&gt;COUNT(BN$2:BN$50),"",INDEX(BM:BM,SMALL(BN$2:BN$50,1+ROW(BM2)-ROW(BM$2))))</f>
        <v>The Development of Travel and Tourism in the UK</v>
      </c>
      <c r="BQ2" t="s">
        <v>485</v>
      </c>
      <c r="BR2">
        <f>IF(COUNTIF(Award!$E$20:$E$83,BQ2)&gt;=1,"",ROW())</f>
        <v>2</v>
      </c>
      <c r="BS2" t="str">
        <f t="shared" ref="BS2" si="17">IF(ROW(BQ2)-ROW(BQ$2)+1&gt;COUNT(BR$2:BR$50),"",INDEX(BQ:BQ,SMALL(BR$2:BR$50,1+ROW(BQ2)-ROW(BQ$2))))</f>
        <v>International Travel and Tourism Destinations</v>
      </c>
    </row>
    <row r="3" spans="1:71" x14ac:dyDescent="0.25">
      <c r="A3" t="s">
        <v>114</v>
      </c>
      <c r="B3">
        <f>IF(COUNTIF(Award!$E$20:$E$83,A3)&gt;=1,"",ROW())</f>
        <v>3</v>
      </c>
      <c r="C3" t="str">
        <f t="shared" ref="C3:C5" si="18">IF(ROW(A3)-ROW(A$2)+1&gt;COUNT(B$2:B$50),"",INDEX(A:A,SMALL(B$2:B$50,1+ROW(A3)-ROW(A$2))))</f>
        <v>Communicating Ideas in 3D</v>
      </c>
      <c r="E3" t="s">
        <v>158</v>
      </c>
      <c r="F3">
        <f>IF(COUNTIF(Award!$E$20:$E$83,E3)&gt;=1,"",ROW())</f>
        <v>3</v>
      </c>
      <c r="G3" t="str">
        <f t="shared" ref="G3:G7" si="19">IF(ROW(E3)-ROW(E$2)+1&gt;COUNT(F$2:F$50),"",INDEX(E:E,SMALL(F$2:F$50,1+ROW(E3)-ROW(E$2))))</f>
        <v>Principles of Customer Services</v>
      </c>
      <c r="I3" t="s">
        <v>158</v>
      </c>
      <c r="J3">
        <f>IF(COUNTIF(Award!$E$20:$E$83,I3)&gt;=1,"",ROW())</f>
        <v>3</v>
      </c>
      <c r="K3" t="str">
        <f t="shared" ref="K3:K4" si="20">IF(ROW(I3)-ROW(I$2)+1&gt;COUNT(J$2:J$50),"",INDEX(I:I,SMALL(J$2:J$50,1+ROW(I3)-ROW(I$2))))</f>
        <v>Principles of Customer Services</v>
      </c>
      <c r="M3" t="s">
        <v>190</v>
      </c>
      <c r="N3">
        <f>IF(COUNTIF(Award!$E$20:$E$83,M3)&gt;=1,"",ROW())</f>
        <v>3</v>
      </c>
      <c r="O3" t="str">
        <f t="shared" ref="O3:O8" si="21">IF(ROW(M3)-ROW(M$2)+1&gt;COUNT(N$2:N$50),"",INDEX(M:M,SMALL(N$2:N$50,1+ROW(M3)-ROW(M$2))))</f>
        <v>Construction Drawing Techniques</v>
      </c>
      <c r="Q3" t="s">
        <v>191</v>
      </c>
      <c r="R3">
        <f>IF(COUNTIF(Award!$E$20:$E$83,Q3)&gt;=1,"",ROW())</f>
        <v>3</v>
      </c>
      <c r="S3" t="str">
        <f t="shared" ref="S3:S7" si="22">IF(ROW(Q3)-ROW(Q$2)+1&gt;COUNT(R$2:R$50),"",INDEX(Q:Q,SMALL(R$2:R$50,1+ROW(Q3)-ROW(Q$2))))</f>
        <v>Exploring Carpentry and Joinery Principles and Techniques</v>
      </c>
      <c r="U3" t="s">
        <v>218</v>
      </c>
      <c r="V3">
        <f>IF(COUNTIF(Award!$E$20:$E$83,U3)&gt;=1,"",ROW())</f>
        <v>3</v>
      </c>
      <c r="W3" t="str">
        <f t="shared" ref="W3:W6" si="23">IF(ROW(U3)-ROW(U$2)+1&gt;COUNT(V$2:V$50),"",INDEX(U:U,SMALL(V$2:V$50,1+ROW(U3)-ROW(U$2))))</f>
        <v>Digital Audio Production</v>
      </c>
      <c r="Y3" t="s">
        <v>66</v>
      </c>
      <c r="Z3">
        <f>IF(COUNTIF(Award!$E$20:$E$83,Y3)&gt;=1,"",ROW())</f>
        <v>3</v>
      </c>
      <c r="AA3" t="str">
        <f t="shared" ref="AA3:AA7" si="24">IF(ROW(Y3)-ROW(Y$2)+1&gt;COUNT(Z$2:Z$50),"",INDEX(Y:Y,SMALL(Z$2:Z$50,1+ROW(Y3)-ROW(Y$2))))</f>
        <v>Engineering Maintenance</v>
      </c>
      <c r="AC3" t="s">
        <v>553</v>
      </c>
      <c r="AD3">
        <f>IF(COUNTIF(Award!$E$20:$E$83,AC3)&gt;=1,"",ROW())</f>
        <v>3</v>
      </c>
      <c r="AE3" t="str">
        <f t="shared" ref="AE3:AE4" si="25">IF(ROW(AC3)-ROW(AC$2)+1&gt;COUNT(AD$2:AD$50),"",INDEX(AC:AC,SMALL(AD$2:AD$50,1+ROW(AC3)-ROW(AC$2))))</f>
        <v>Equine Behaviour</v>
      </c>
      <c r="AG3" t="s">
        <v>294</v>
      </c>
      <c r="AH3">
        <f>IF(COUNTIF(Award!$E$20:$E$83,AG3)&gt;=1,"",ROW())</f>
        <v>3</v>
      </c>
      <c r="AI3" t="str">
        <f t="shared" ref="AI3:AI7" si="26">IF(ROW(AG3)-ROW(AG$2)+1&gt;COUNT(AH$2:AH$50),"",INDEX(AG:AG,SMALL(AH$2:AH$50,1+ROW(AG3)-ROW(AG$2))))</f>
        <v>Social Influences on Health and Wellbeing</v>
      </c>
      <c r="AK3" t="s">
        <v>311</v>
      </c>
      <c r="AL3">
        <f>IF(COUNTIF(Award!$E$20:$E$83,AK3)&gt;=1,"",ROW())</f>
        <v>3</v>
      </c>
      <c r="AM3" t="str">
        <f t="shared" ref="AM3:AM6" si="27">IF(ROW(AK3)-ROW(AK$2)+1&gt;COUNT(AL$2:AL$50),"",INDEX(AK:AK,SMALL(AL$2:AL$50,1+ROW(AK3)-ROW(AK$2))))</f>
        <v>Enterprise in the Hospitality Industry</v>
      </c>
      <c r="AO3" t="s">
        <v>345</v>
      </c>
      <c r="AP3">
        <f>IF(COUNTIF(Award!$E$20:$E$83,AO3)&gt;=1,"",ROW())</f>
        <v>3</v>
      </c>
      <c r="AQ3" t="str">
        <f t="shared" ref="AQ3:AQ8" si="28">IF(ROW(AO3)-ROW(AO$2)+1&gt;COUNT(AP$2:AP$50),"",INDEX(AO:AO,SMALL(AP$2:AP$50,1+ROW(AO3)-ROW(AO$2))))</f>
        <v>Creating Digital Audio</v>
      </c>
      <c r="AS3" t="s">
        <v>363</v>
      </c>
      <c r="AT3">
        <f>IF(COUNTIF(Award!$E$20:$E$83,AS3)&gt;=1,"",ROW())</f>
        <v>3</v>
      </c>
      <c r="AU3" t="str">
        <f t="shared" ref="AU3:AU6" si="29">IF(ROW(AS3)-ROW(AS$2)+1&gt;COUNT(AT$2:AT$50),"",INDEX(AS:AS,SMALL(AT$2:AT$50,1+ROW(AS3)-ROW(AS$2))))</f>
        <v>Introducing Music Composition</v>
      </c>
      <c r="AW3" t="s">
        <v>391</v>
      </c>
      <c r="AX3">
        <f>IF(COUNTIF(Award!$E$20:$E$83,AW3)&gt;=1,"",ROW())</f>
        <v>3</v>
      </c>
      <c r="AY3" t="str">
        <f t="shared" ref="AY3:AY6" si="30">IF(ROW(AW3)-ROW(AW$2)+1&gt;COUNT(AX$2:AX$50),"",INDEX(AW:AW,SMALL(AX$2:AX$50,1+ROW(AW3)-ROW(AW$2))))</f>
        <v>Dance Skills</v>
      </c>
      <c r="BA3" t="s">
        <v>439</v>
      </c>
      <c r="BB3">
        <f>IF(COUNTIF(Award!$E$20:$E$83,BA3)&gt;=1,"",ROW())</f>
        <v>3</v>
      </c>
      <c r="BC3" t="str">
        <f t="shared" ref="BC3:BC4" si="31">IF(ROW(BA3)-ROW(BA$2)+1&gt;COUNT(BB$2:BB$50),"",INDEX(BA:BA,SMALL(BB$2:BB$50,1+ROW(BA3)-ROW(BA$2))))</f>
        <v>Public Services and Community Protection</v>
      </c>
      <c r="BE3" t="s">
        <v>456</v>
      </c>
      <c r="BF3">
        <f>IF(COUNTIF(Award!$E$20:$E$83,BE3)&gt;=1,"",ROW())</f>
        <v>3</v>
      </c>
      <c r="BG3" t="str">
        <f t="shared" ref="BG3:BG5" si="32">IF(ROW(BE3)-ROW(BE$2)+1&gt;COUNT(BF$2:BF$50),"",INDEX(BE:BE,SMALL(BF$2:BF$50,1+ROW(BE3)-ROW(BE$2))))</f>
        <v>The Sports Performer in Action</v>
      </c>
      <c r="BI3" t="s">
        <v>456</v>
      </c>
      <c r="BJ3">
        <f>IF(COUNTIF(Award!$E$20:$E$83,BI3)&gt;=1,"",ROW())</f>
        <v>3</v>
      </c>
      <c r="BK3" t="str">
        <f t="shared" ref="BK3:BK4" si="33">IF(ROW(BI3)-ROW(BI$2)+1&gt;COUNT(BJ$2:BJ$50),"",INDEX(BI:BI,SMALL(BJ$2:BJ$50,1+ROW(BI3)-ROW(BI$2))))</f>
        <v>The Sports Performer in Action</v>
      </c>
      <c r="BM3" t="s">
        <v>485</v>
      </c>
      <c r="BN3">
        <f>IF(COUNTIF(Award!$E$20:$E$83,BM3)&gt;=1,"",ROW())</f>
        <v>3</v>
      </c>
      <c r="BO3" t="str">
        <f t="shared" ref="BO3:BO5" si="34">IF(ROW(BM3)-ROW(BM$2)+1&gt;COUNT(BN$2:BN$50),"",INDEX(BM:BM,SMALL(BN$2:BN$50,1+ROW(BM3)-ROW(BM$2))))</f>
        <v>International Travel and Tourism Destinations</v>
      </c>
      <c r="BQ3" t="s">
        <v>486</v>
      </c>
      <c r="BR3">
        <f>IF(COUNTIF(Award!$E$20:$E$83,BQ3)&gt;=1,"",ROW())</f>
        <v>3</v>
      </c>
      <c r="BS3" t="str">
        <f t="shared" ref="BS3" si="35">IF(ROW(BQ3)-ROW(BQ$2)+1&gt;COUNT(BR$2:BR$50),"",INDEX(BQ:BQ,SMALL(BR$2:BR$50,1+ROW(BQ3)-ROW(BQ$2))))</f>
        <v>Factors Affecting Worldwide Travel and Tourism</v>
      </c>
    </row>
    <row r="4" spans="1:71" x14ac:dyDescent="0.25">
      <c r="A4" t="s">
        <v>108</v>
      </c>
      <c r="B4">
        <f>IF(COUNTIF(Award!$E$20:$E$83,A4)&gt;=1,"",ROW())</f>
        <v>4</v>
      </c>
      <c r="C4" t="str">
        <f t="shared" si="18"/>
        <v>Developing an Art and Design Portfolio</v>
      </c>
      <c r="E4" t="s">
        <v>159</v>
      </c>
      <c r="F4">
        <f>IF(COUNTIF(Award!$E$20:$E$83,E4)&gt;=1,"",ROW())</f>
        <v>4</v>
      </c>
      <c r="G4" t="str">
        <f t="shared" si="19"/>
        <v>Sales and Personal Selling</v>
      </c>
      <c r="I4" t="s">
        <v>162</v>
      </c>
      <c r="J4">
        <f>IF(COUNTIF(Award!$E$20:$E$83,I4)&gt;=1,"",ROW())</f>
        <v>4</v>
      </c>
      <c r="K4" t="str">
        <f t="shared" si="20"/>
        <v>Recruitment, Selection and Employment</v>
      </c>
      <c r="M4" t="s">
        <v>191</v>
      </c>
      <c r="N4">
        <f>IF(COUNTIF(Award!$E$20:$E$83,M4)&gt;=1,"",ROW())</f>
        <v>4</v>
      </c>
      <c r="O4" t="str">
        <f t="shared" si="21"/>
        <v>Exploring Carpentry and Joinery Principles and Techniques</v>
      </c>
      <c r="Q4" t="s">
        <v>192</v>
      </c>
      <c r="R4">
        <f>IF(COUNTIF(Award!$E$20:$E$83,Q4)&gt;=1,"",ROW())</f>
        <v>4</v>
      </c>
      <c r="S4" t="str">
        <f t="shared" si="22"/>
        <v>Exploring Brickwork and Blockwork Principles and Techniques</v>
      </c>
      <c r="U4" t="s">
        <v>219</v>
      </c>
      <c r="V4">
        <f>IF(COUNTIF(Award!$E$20:$E$83,U4)&gt;=1,"",ROW())</f>
        <v>4</v>
      </c>
      <c r="W4" t="str">
        <f t="shared" si="23"/>
        <v>Digital Publishing Production</v>
      </c>
      <c r="Y4" t="s">
        <v>237</v>
      </c>
      <c r="Z4">
        <f>IF(COUNTIF(Award!$E$20:$E$83,Y4)&gt;=1,"",ROW())</f>
        <v>4</v>
      </c>
      <c r="AA4" t="str">
        <f t="shared" si="24"/>
        <v>Engineering Materials</v>
      </c>
      <c r="AC4" t="s">
        <v>554</v>
      </c>
      <c r="AD4">
        <f>IF(COUNTIF(Award!$E$20:$E$83,AC4)&gt;=1,"",ROW())</f>
        <v>4</v>
      </c>
      <c r="AE4" t="str">
        <f t="shared" si="25"/>
        <v>Equine Tack, Equipment and Clothing</v>
      </c>
      <c r="AG4" t="s">
        <v>295</v>
      </c>
      <c r="AH4">
        <f>IF(COUNTIF(Award!$E$20:$E$83,AG4)&gt;=1,"",ROW())</f>
        <v>4</v>
      </c>
      <c r="AI4" t="str">
        <f t="shared" si="26"/>
        <v>Promoting Health and Wellbeing</v>
      </c>
      <c r="AK4" t="s">
        <v>312</v>
      </c>
      <c r="AL4">
        <f>IF(COUNTIF(Award!$E$20:$E$83,AK4)&gt;=1,"",ROW())</f>
        <v>4</v>
      </c>
      <c r="AM4" t="str">
        <f t="shared" si="27"/>
        <v>Planning, Preparing, Cooking and Finishing Food</v>
      </c>
      <c r="AO4" t="s">
        <v>346</v>
      </c>
      <c r="AP4">
        <f>IF(COUNTIF(Award!$E$20:$E$83,AO4)&gt;=1,"",ROW())</f>
        <v>4</v>
      </c>
      <c r="AQ4" t="str">
        <f t="shared" si="28"/>
        <v>Creating Digital Graphics</v>
      </c>
      <c r="AS4" t="s">
        <v>364</v>
      </c>
      <c r="AT4">
        <f>IF(COUNTIF(Award!$E$20:$E$83,AS4)&gt;=1,"",ROW())</f>
        <v>4</v>
      </c>
      <c r="AU4" t="str">
        <f t="shared" si="29"/>
        <v>Introducing Music Performance</v>
      </c>
      <c r="AW4" t="s">
        <v>392</v>
      </c>
      <c r="AX4">
        <f>IF(COUNTIF(Award!$E$20:$E$83,AW4)&gt;=1,"",ROW())</f>
        <v>4</v>
      </c>
      <c r="AY4" t="str">
        <f t="shared" si="30"/>
        <v>Musical Theatre Skills</v>
      </c>
      <c r="BA4" t="s">
        <v>440</v>
      </c>
      <c r="BB4">
        <f>IF(COUNTIF(Award!$E$20:$E$83,BA4)&gt;=1,"",ROW())</f>
        <v>4</v>
      </c>
      <c r="BC4" t="str">
        <f t="shared" si="31"/>
        <v>Health, Fitness and Lifestyle for the Public Services</v>
      </c>
      <c r="BE4" t="s">
        <v>457</v>
      </c>
      <c r="BF4">
        <f>IF(COUNTIF(Award!$E$20:$E$83,BE4)&gt;=1,"",ROW())</f>
        <v>4</v>
      </c>
      <c r="BG4" t="str">
        <f t="shared" si="32"/>
        <v>Training for Personal Fitness</v>
      </c>
      <c r="BI4" t="s">
        <v>467</v>
      </c>
      <c r="BJ4">
        <f>IF(COUNTIF(Award!$E$20:$E$83,BI4)&gt;=1,"",ROW())</f>
        <v>4</v>
      </c>
      <c r="BK4" t="str">
        <f t="shared" si="33"/>
        <v>Leading Sports Activities</v>
      </c>
      <c r="BM4" t="s">
        <v>486</v>
      </c>
      <c r="BN4">
        <f>IF(COUNTIF(Award!$E$20:$E$83,BM4)&gt;=1,"",ROW())</f>
        <v>4</v>
      </c>
      <c r="BO4" t="str">
        <f t="shared" si="34"/>
        <v>Factors Affecting Worldwide Travel and Tourism</v>
      </c>
    </row>
    <row r="5" spans="1:71" x14ac:dyDescent="0.25">
      <c r="A5" t="s">
        <v>109</v>
      </c>
      <c r="B5">
        <f>IF(COUNTIF(Award!$E$20:$E$83,A5)&gt;=1,"",ROW())</f>
        <v>5</v>
      </c>
      <c r="C5" t="str">
        <f t="shared" si="18"/>
        <v>Investigating Contextual References in Art and Design</v>
      </c>
      <c r="E5" t="s">
        <v>160</v>
      </c>
      <c r="F5">
        <f>IF(COUNTIF(Award!$E$20:$E$83,E5)&gt;=1,"",ROW())</f>
        <v>5</v>
      </c>
      <c r="G5" t="str">
        <f t="shared" si="19"/>
        <v>Introducing Retail Business</v>
      </c>
      <c r="M5" t="s">
        <v>192</v>
      </c>
      <c r="N5">
        <f>IF(COUNTIF(Award!$E$20:$E$83,M5)&gt;=1,"",ROW())</f>
        <v>5</v>
      </c>
      <c r="O5" t="str">
        <f t="shared" si="21"/>
        <v>Exploring Brickwork and Blockwork Principles and Techniques</v>
      </c>
      <c r="Q5" t="s">
        <v>193</v>
      </c>
      <c r="R5">
        <f>IF(COUNTIF(Award!$E$20:$E$83,Q5)&gt;=1,"",ROW())</f>
        <v>5</v>
      </c>
      <c r="S5" t="str">
        <f t="shared" si="22"/>
        <v>Exploring Painting and Decorating Principles and Techniques</v>
      </c>
      <c r="U5" t="s">
        <v>220</v>
      </c>
      <c r="V5">
        <f>IF(COUNTIF(Award!$E$20:$E$83,U5)&gt;=1,"",ROW())</f>
        <v>5</v>
      </c>
      <c r="W5" t="str">
        <f t="shared" si="23"/>
        <v>Website Production</v>
      </c>
      <c r="Y5" t="s">
        <v>247</v>
      </c>
      <c r="Z5">
        <f>IF(COUNTIF(Award!$E$20:$E$83,Y5)&gt;=1,"",ROW())</f>
        <v>5</v>
      </c>
      <c r="AA5" t="str">
        <f t="shared" si="24"/>
        <v>Computer-aided Engineering</v>
      </c>
      <c r="AG5" t="s">
        <v>296</v>
      </c>
      <c r="AH5">
        <f>IF(COUNTIF(Award!$E$20:$E$83,AG5)&gt;=1,"",ROW())</f>
        <v>5</v>
      </c>
      <c r="AI5" t="str">
        <f t="shared" si="26"/>
        <v>The Impact of Nutrition on Health and Wellbeing</v>
      </c>
      <c r="AK5" t="s">
        <v>313</v>
      </c>
      <c r="AL5">
        <f>IF(COUNTIF(Award!$E$20:$E$83,AK5)&gt;=1,"",ROW())</f>
        <v>5</v>
      </c>
      <c r="AM5" t="str">
        <f t="shared" si="27"/>
        <v>Food and Beverage Service in the Hospitality Industry</v>
      </c>
      <c r="AO5" t="s">
        <v>347</v>
      </c>
      <c r="AP5">
        <f>IF(COUNTIF(Award!$E$20:$E$83,AO5)&gt;=1,"",ROW())</f>
        <v>5</v>
      </c>
      <c r="AQ5" t="str">
        <f t="shared" si="28"/>
        <v>Creating Digital Video</v>
      </c>
      <c r="AS5" t="s">
        <v>365</v>
      </c>
      <c r="AT5">
        <f>IF(COUNTIF(Award!$E$20:$E$83,AS5)&gt;=1,"",ROW())</f>
        <v>5</v>
      </c>
      <c r="AU5" t="str">
        <f t="shared" si="29"/>
        <v>Introducing Music Recording</v>
      </c>
      <c r="AW5" t="s">
        <v>393</v>
      </c>
      <c r="AX5">
        <f>IF(COUNTIF(Award!$E$20:$E$83,AW5)&gt;=1,"",ROW())</f>
        <v>5</v>
      </c>
      <c r="AY5" t="str">
        <f t="shared" si="30"/>
        <v>Music Performance Skills</v>
      </c>
      <c r="BE5" t="s">
        <v>467</v>
      </c>
      <c r="BF5">
        <f>IF(COUNTIF(Award!$E$20:$E$83,BE5)&gt;=1,"",ROW())</f>
        <v>5</v>
      </c>
      <c r="BG5" t="str">
        <f t="shared" si="32"/>
        <v>Leading Sports Activities</v>
      </c>
      <c r="BM5" t="s">
        <v>525</v>
      </c>
      <c r="BN5">
        <f>IF(COUNTIF(Award!$E$20:$E$83,BM5)&gt;=1,"",ROW())</f>
        <v>5</v>
      </c>
      <c r="BO5" t="str">
        <f t="shared" si="34"/>
        <v>The Travel and Tourism Customer Experience</v>
      </c>
    </row>
    <row r="6" spans="1:71" x14ac:dyDescent="0.25">
      <c r="E6" t="s">
        <v>161</v>
      </c>
      <c r="F6">
        <f>IF(COUNTIF(Award!$E$20:$E$83,E6)&gt;=1,"",ROW())</f>
        <v>6</v>
      </c>
      <c r="G6" t="str">
        <f t="shared" si="19"/>
        <v>Providing Business Support</v>
      </c>
      <c r="M6" t="s">
        <v>193</v>
      </c>
      <c r="N6">
        <f>IF(COUNTIF(Award!$E$20:$E$83,M6)&gt;=1,"",ROW())</f>
        <v>6</v>
      </c>
      <c r="O6" t="str">
        <f t="shared" si="21"/>
        <v>Exploring Painting and Decorating Principles and Techniques</v>
      </c>
      <c r="Q6" t="s">
        <v>194</v>
      </c>
      <c r="R6">
        <f>IF(COUNTIF(Award!$E$20:$E$83,Q6)&gt;=1,"",ROW())</f>
        <v>6</v>
      </c>
      <c r="S6" t="str">
        <f t="shared" si="22"/>
        <v>Exploring Plumbing Principles and Techniques</v>
      </c>
      <c r="U6" t="s">
        <v>221</v>
      </c>
      <c r="V6">
        <f>IF(COUNTIF(Award!$E$20:$E$83,U6)&gt;=1,"",ROW())</f>
        <v>6</v>
      </c>
      <c r="W6" t="str">
        <f t="shared" si="23"/>
        <v>Digital Games Production</v>
      </c>
      <c r="Y6" t="s">
        <v>241</v>
      </c>
      <c r="Z6">
        <f>IF(COUNTIF(Award!$E$20:$E$83,Y6)&gt;=1,"",ROW())</f>
        <v>6</v>
      </c>
      <c r="AA6" t="str">
        <f t="shared" si="24"/>
        <v>Machining Techniques</v>
      </c>
      <c r="AG6" t="s">
        <v>282</v>
      </c>
      <c r="AH6">
        <f>IF(COUNTIF(Award!$E$20:$E$83,AG6)&gt;=1,"",ROW())</f>
        <v>6</v>
      </c>
      <c r="AI6" t="str">
        <f t="shared" si="26"/>
        <v>Equality and Diversity in Health and Social Care</v>
      </c>
      <c r="AK6" t="s">
        <v>314</v>
      </c>
      <c r="AL6">
        <f>IF(COUNTIF(Award!$E$20:$E$83,AK6)&gt;=1,"",ROW())</f>
        <v>6</v>
      </c>
      <c r="AM6" t="str">
        <f t="shared" si="27"/>
        <v>Front Office Services in the Hospitality Industry</v>
      </c>
      <c r="AO6" t="s">
        <v>349</v>
      </c>
      <c r="AP6">
        <f>IF(COUNTIF(Award!$E$20:$E$83,AO6)&gt;=1,"",ROW())</f>
        <v>6</v>
      </c>
      <c r="AQ6" t="str">
        <f t="shared" si="28"/>
        <v>Spreadsheet Development</v>
      </c>
      <c r="AS6" t="s">
        <v>366</v>
      </c>
      <c r="AT6">
        <f>IF(COUNTIF(Award!$E$20:$E$83,AS6)&gt;=1,"",ROW())</f>
        <v>6</v>
      </c>
      <c r="AU6" t="str">
        <f t="shared" si="29"/>
        <v>Introducing Music Sequencing</v>
      </c>
      <c r="AW6" t="s">
        <v>394</v>
      </c>
      <c r="AX6">
        <f>IF(COUNTIF(Award!$E$20:$E$83,AW6)&gt;=1,"",ROW())</f>
        <v>6</v>
      </c>
      <c r="AY6" t="str">
        <f t="shared" si="30"/>
        <v>Production Skills for Performance</v>
      </c>
    </row>
    <row r="7" spans="1:71" x14ac:dyDescent="0.25">
      <c r="E7" t="s">
        <v>162</v>
      </c>
      <c r="F7">
        <f>IF(COUNTIF(Award!$E$20:$E$83,E7)&gt;=1,"",ROW())</f>
        <v>7</v>
      </c>
      <c r="G7" t="str">
        <f t="shared" si="19"/>
        <v>Recruitment, Selection and Employment</v>
      </c>
      <c r="M7" t="s">
        <v>194</v>
      </c>
      <c r="N7">
        <f>IF(COUNTIF(Award!$E$20:$E$83,M7)&gt;=1,"",ROW())</f>
        <v>7</v>
      </c>
      <c r="O7" t="str">
        <f t="shared" si="21"/>
        <v>Exploring Plumbing Principles and Techniques</v>
      </c>
      <c r="Q7" t="s">
        <v>195</v>
      </c>
      <c r="R7">
        <f>IF(COUNTIF(Award!$E$20:$E$83,Q7)&gt;=1,"",ROW())</f>
        <v>7</v>
      </c>
      <c r="S7" t="str">
        <f t="shared" si="22"/>
        <v>Exploring Electrical Principles and Techniques</v>
      </c>
      <c r="Y7" t="s">
        <v>242</v>
      </c>
      <c r="Z7">
        <f>IF(COUNTIF(Award!$E$20:$E$83,Y7)&gt;=1,"",ROW())</f>
        <v>7</v>
      </c>
      <c r="AA7" t="str">
        <f t="shared" si="24"/>
        <v>Electronic Circuit Design and Construction</v>
      </c>
      <c r="AG7" t="s">
        <v>283</v>
      </c>
      <c r="AH7">
        <f>IF(COUNTIF(Award!$E$20:$E$83,AG7)&gt;=1,"",ROW())</f>
        <v>7</v>
      </c>
      <c r="AI7" t="str">
        <f t="shared" si="26"/>
        <v>Individual Rights in Health and Social Care</v>
      </c>
      <c r="AO7" t="s">
        <v>333</v>
      </c>
      <c r="AP7">
        <f>IF(COUNTIF(Award!$E$20:$E$83,AO7)&gt;=1,"",ROW())</f>
        <v>7</v>
      </c>
      <c r="AQ7" t="str">
        <f t="shared" si="28"/>
        <v>Database Development</v>
      </c>
    </row>
    <row r="8" spans="1:71" x14ac:dyDescent="0.25">
      <c r="M8" t="s">
        <v>195</v>
      </c>
      <c r="N8">
        <f>IF(COUNTIF(Award!$E$20:$E$83,M8)&gt;=1,"",ROW())</f>
        <v>8</v>
      </c>
      <c r="O8" t="str">
        <f t="shared" si="21"/>
        <v>Exploring Electrical Principles and Techniques</v>
      </c>
      <c r="AO8" t="s">
        <v>336</v>
      </c>
      <c r="AP8">
        <f>IF(COUNTIF(Award!$E$20:$E$83,AO8)&gt;=1,"",ROW())</f>
        <v>8</v>
      </c>
      <c r="AQ8" t="str">
        <f t="shared" si="28"/>
        <v>Website Development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288"/>
  <sheetViews>
    <sheetView topLeftCell="A253" workbookViewId="0">
      <selection activeCell="G285" sqref="G285:G288"/>
    </sheetView>
  </sheetViews>
  <sheetFormatPr defaultRowHeight="15" x14ac:dyDescent="0.25"/>
  <cols>
    <col min="1" max="1" width="26.42578125" bestFit="1" customWidth="1"/>
    <col min="2" max="2" width="12.140625" bestFit="1" customWidth="1"/>
    <col min="3" max="3" width="49.7109375" bestFit="1" customWidth="1"/>
    <col min="5" max="5" width="16.140625" bestFit="1" customWidth="1"/>
    <col min="7" max="7" width="36.140625" bestFit="1" customWidth="1"/>
    <col min="8" max="8" width="36.7109375" bestFit="1" customWidth="1"/>
    <col min="15" max="15" width="31.42578125" bestFit="1" customWidth="1"/>
  </cols>
  <sheetData>
    <row r="1" spans="1:19" x14ac:dyDescent="0.25">
      <c r="A1" t="s">
        <v>8</v>
      </c>
      <c r="H1" t="s">
        <v>23</v>
      </c>
      <c r="O1" t="s">
        <v>246</v>
      </c>
    </row>
    <row r="2" spans="1:19" x14ac:dyDescent="0.25">
      <c r="A2" t="s">
        <v>9</v>
      </c>
      <c r="B2" t="s">
        <v>10</v>
      </c>
      <c r="C2" t="s">
        <v>7</v>
      </c>
      <c r="D2" t="s">
        <v>0</v>
      </c>
      <c r="E2" t="s">
        <v>11</v>
      </c>
      <c r="H2" t="s">
        <v>9</v>
      </c>
      <c r="I2" t="s">
        <v>6</v>
      </c>
      <c r="J2" t="s">
        <v>7</v>
      </c>
      <c r="K2" t="s">
        <v>0</v>
      </c>
      <c r="L2" t="s">
        <v>11</v>
      </c>
      <c r="O2" t="s">
        <v>9</v>
      </c>
      <c r="P2" t="s">
        <v>6</v>
      </c>
      <c r="Q2" t="s">
        <v>7</v>
      </c>
      <c r="R2" t="s">
        <v>0</v>
      </c>
      <c r="S2" t="s">
        <v>11</v>
      </c>
    </row>
    <row r="3" spans="1:19" x14ac:dyDescent="0.25">
      <c r="A3" t="s">
        <v>46</v>
      </c>
      <c r="B3">
        <v>1</v>
      </c>
      <c r="C3" t="s">
        <v>106</v>
      </c>
      <c r="D3">
        <v>30</v>
      </c>
      <c r="E3" t="s">
        <v>22</v>
      </c>
      <c r="G3" t="s">
        <v>113</v>
      </c>
      <c r="H3" t="s">
        <v>46</v>
      </c>
      <c r="I3">
        <v>3</v>
      </c>
      <c r="J3" t="s">
        <v>113</v>
      </c>
      <c r="K3">
        <v>30</v>
      </c>
      <c r="L3" t="s">
        <v>22</v>
      </c>
      <c r="N3" t="s">
        <v>222</v>
      </c>
      <c r="O3" t="s">
        <v>59</v>
      </c>
      <c r="P3">
        <v>9</v>
      </c>
      <c r="Q3" t="s">
        <v>222</v>
      </c>
      <c r="R3">
        <v>60</v>
      </c>
      <c r="S3" t="s">
        <v>22</v>
      </c>
    </row>
    <row r="4" spans="1:19" x14ac:dyDescent="0.25">
      <c r="A4" t="s">
        <v>46</v>
      </c>
      <c r="B4">
        <v>2</v>
      </c>
      <c r="C4" t="s">
        <v>107</v>
      </c>
      <c r="D4">
        <v>30</v>
      </c>
      <c r="E4" t="s">
        <v>21</v>
      </c>
      <c r="G4" t="s">
        <v>114</v>
      </c>
      <c r="H4" t="s">
        <v>46</v>
      </c>
      <c r="I4">
        <v>4</v>
      </c>
      <c r="J4" t="s">
        <v>114</v>
      </c>
      <c r="K4">
        <v>30</v>
      </c>
      <c r="L4" t="s">
        <v>22</v>
      </c>
      <c r="N4" t="s">
        <v>223</v>
      </c>
      <c r="O4" t="s">
        <v>59</v>
      </c>
      <c r="P4">
        <v>10</v>
      </c>
      <c r="Q4" t="s">
        <v>223</v>
      </c>
      <c r="R4">
        <v>60</v>
      </c>
      <c r="S4" t="s">
        <v>22</v>
      </c>
    </row>
    <row r="5" spans="1:19" x14ac:dyDescent="0.25">
      <c r="A5" t="s">
        <v>46</v>
      </c>
      <c r="B5">
        <v>6</v>
      </c>
      <c r="C5" t="s">
        <v>109</v>
      </c>
      <c r="D5">
        <v>30</v>
      </c>
      <c r="E5" t="s">
        <v>22</v>
      </c>
      <c r="G5" t="s">
        <v>108</v>
      </c>
      <c r="H5" t="s">
        <v>46</v>
      </c>
      <c r="I5">
        <v>5</v>
      </c>
      <c r="J5" t="s">
        <v>108</v>
      </c>
      <c r="K5">
        <v>30</v>
      </c>
      <c r="L5" t="s">
        <v>22</v>
      </c>
      <c r="N5" t="s">
        <v>224</v>
      </c>
      <c r="O5" t="s">
        <v>59</v>
      </c>
      <c r="P5">
        <v>11</v>
      </c>
      <c r="Q5" t="s">
        <v>224</v>
      </c>
      <c r="R5">
        <v>60</v>
      </c>
      <c r="S5" t="s">
        <v>22</v>
      </c>
    </row>
    <row r="6" spans="1:19" x14ac:dyDescent="0.25">
      <c r="A6" t="s">
        <v>46</v>
      </c>
      <c r="B6">
        <v>7</v>
      </c>
      <c r="C6" t="s">
        <v>110</v>
      </c>
      <c r="D6">
        <v>30</v>
      </c>
      <c r="E6" t="s">
        <v>21</v>
      </c>
      <c r="G6" t="s">
        <v>115</v>
      </c>
      <c r="H6" t="s">
        <v>46</v>
      </c>
      <c r="I6">
        <v>8</v>
      </c>
      <c r="J6" t="s">
        <v>115</v>
      </c>
      <c r="K6">
        <v>30</v>
      </c>
      <c r="L6" t="s">
        <v>22</v>
      </c>
      <c r="N6" t="s">
        <v>225</v>
      </c>
      <c r="O6" t="s">
        <v>59</v>
      </c>
      <c r="P6">
        <v>12</v>
      </c>
      <c r="Q6" t="s">
        <v>225</v>
      </c>
      <c r="R6">
        <v>30</v>
      </c>
      <c r="S6" t="s">
        <v>22</v>
      </c>
    </row>
    <row r="7" spans="1:19" x14ac:dyDescent="0.25">
      <c r="A7" t="s">
        <v>47</v>
      </c>
      <c r="B7">
        <v>1</v>
      </c>
      <c r="C7" t="s">
        <v>106</v>
      </c>
      <c r="D7">
        <v>30</v>
      </c>
      <c r="E7" t="s">
        <v>22</v>
      </c>
      <c r="G7" t="s">
        <v>116</v>
      </c>
      <c r="H7" t="s">
        <v>46</v>
      </c>
      <c r="I7">
        <v>9</v>
      </c>
      <c r="J7" t="s">
        <v>116</v>
      </c>
      <c r="K7">
        <v>60</v>
      </c>
      <c r="L7" t="s">
        <v>22</v>
      </c>
      <c r="N7" t="s">
        <v>226</v>
      </c>
      <c r="O7" t="s">
        <v>59</v>
      </c>
      <c r="P7">
        <v>13</v>
      </c>
      <c r="Q7" t="s">
        <v>226</v>
      </c>
      <c r="R7">
        <v>30</v>
      </c>
      <c r="S7" t="s">
        <v>22</v>
      </c>
    </row>
    <row r="8" spans="1:19" x14ac:dyDescent="0.25">
      <c r="A8" t="s">
        <v>47</v>
      </c>
      <c r="B8">
        <v>2</v>
      </c>
      <c r="C8" t="s">
        <v>107</v>
      </c>
      <c r="D8">
        <v>30</v>
      </c>
      <c r="E8" t="s">
        <v>21</v>
      </c>
      <c r="G8" t="s">
        <v>117</v>
      </c>
      <c r="H8" t="s">
        <v>46</v>
      </c>
      <c r="I8">
        <v>10</v>
      </c>
      <c r="J8" t="s">
        <v>117</v>
      </c>
      <c r="K8">
        <v>60</v>
      </c>
      <c r="L8" t="s">
        <v>22</v>
      </c>
      <c r="N8" t="s">
        <v>227</v>
      </c>
      <c r="O8" t="s">
        <v>59</v>
      </c>
      <c r="P8">
        <v>14</v>
      </c>
      <c r="Q8" t="s">
        <v>227</v>
      </c>
      <c r="R8">
        <v>30</v>
      </c>
      <c r="S8" t="s">
        <v>22</v>
      </c>
    </row>
    <row r="9" spans="1:19" x14ac:dyDescent="0.25">
      <c r="A9" t="s">
        <v>47</v>
      </c>
      <c r="B9">
        <v>6</v>
      </c>
      <c r="C9" t="s">
        <v>109</v>
      </c>
      <c r="D9">
        <v>30</v>
      </c>
      <c r="E9" t="s">
        <v>22</v>
      </c>
      <c r="G9" t="s">
        <v>118</v>
      </c>
      <c r="H9" t="s">
        <v>46</v>
      </c>
      <c r="I9">
        <v>11</v>
      </c>
      <c r="J9" t="s">
        <v>118</v>
      </c>
      <c r="K9">
        <v>60</v>
      </c>
      <c r="L9" t="s">
        <v>22</v>
      </c>
      <c r="N9" t="s">
        <v>228</v>
      </c>
      <c r="O9" t="s">
        <v>59</v>
      </c>
      <c r="P9">
        <v>15</v>
      </c>
      <c r="Q9" t="s">
        <v>228</v>
      </c>
      <c r="R9">
        <v>30</v>
      </c>
      <c r="S9" t="s">
        <v>22</v>
      </c>
    </row>
    <row r="10" spans="1:19" x14ac:dyDescent="0.25">
      <c r="A10" t="s">
        <v>47</v>
      </c>
      <c r="B10">
        <v>7</v>
      </c>
      <c r="C10" t="s">
        <v>110</v>
      </c>
      <c r="D10">
        <v>30</v>
      </c>
      <c r="E10" t="s">
        <v>21</v>
      </c>
      <c r="G10" t="s">
        <v>119</v>
      </c>
      <c r="H10" t="s">
        <v>46</v>
      </c>
      <c r="I10">
        <v>12</v>
      </c>
      <c r="J10" t="s">
        <v>119</v>
      </c>
      <c r="K10">
        <v>60</v>
      </c>
      <c r="L10" t="s">
        <v>22</v>
      </c>
      <c r="N10" t="s">
        <v>401</v>
      </c>
      <c r="O10" t="s">
        <v>75</v>
      </c>
      <c r="P10">
        <v>16</v>
      </c>
      <c r="Q10" t="s">
        <v>401</v>
      </c>
      <c r="R10">
        <v>30</v>
      </c>
      <c r="S10" t="s">
        <v>22</v>
      </c>
    </row>
    <row r="11" spans="1:19" x14ac:dyDescent="0.25">
      <c r="A11" t="s">
        <v>47</v>
      </c>
      <c r="B11">
        <v>9</v>
      </c>
      <c r="C11" t="s">
        <v>116</v>
      </c>
      <c r="D11">
        <v>60</v>
      </c>
      <c r="E11" t="s">
        <v>22</v>
      </c>
      <c r="G11" t="s">
        <v>120</v>
      </c>
      <c r="H11" t="s">
        <v>46</v>
      </c>
      <c r="I11">
        <v>13</v>
      </c>
      <c r="J11" t="s">
        <v>120</v>
      </c>
      <c r="K11">
        <v>60</v>
      </c>
      <c r="L11" t="s">
        <v>22</v>
      </c>
      <c r="N11" t="s">
        <v>402</v>
      </c>
      <c r="O11" t="s">
        <v>75</v>
      </c>
      <c r="P11">
        <v>17</v>
      </c>
      <c r="Q11" t="s">
        <v>402</v>
      </c>
      <c r="R11">
        <v>30</v>
      </c>
      <c r="S11" t="s">
        <v>22</v>
      </c>
    </row>
    <row r="12" spans="1:19" x14ac:dyDescent="0.25">
      <c r="A12" t="s">
        <v>48</v>
      </c>
      <c r="B12">
        <v>1</v>
      </c>
      <c r="C12" t="s">
        <v>106</v>
      </c>
      <c r="D12">
        <v>30</v>
      </c>
      <c r="E12" t="s">
        <v>22</v>
      </c>
      <c r="G12" t="s">
        <v>121</v>
      </c>
      <c r="H12" t="s">
        <v>46</v>
      </c>
      <c r="I12">
        <v>14</v>
      </c>
      <c r="J12" t="s">
        <v>121</v>
      </c>
      <c r="K12">
        <v>60</v>
      </c>
      <c r="L12" t="s">
        <v>22</v>
      </c>
      <c r="N12" t="s">
        <v>403</v>
      </c>
      <c r="O12" t="s">
        <v>75</v>
      </c>
      <c r="P12">
        <v>18</v>
      </c>
      <c r="Q12" t="s">
        <v>403</v>
      </c>
      <c r="R12">
        <v>30</v>
      </c>
      <c r="S12" t="s">
        <v>22</v>
      </c>
    </row>
    <row r="13" spans="1:19" x14ac:dyDescent="0.25">
      <c r="A13" t="s">
        <v>48</v>
      </c>
      <c r="B13">
        <v>2</v>
      </c>
      <c r="C13" t="s">
        <v>107</v>
      </c>
      <c r="D13">
        <v>30</v>
      </c>
      <c r="E13" t="s">
        <v>21</v>
      </c>
      <c r="G13" t="s">
        <v>122</v>
      </c>
      <c r="H13" t="s">
        <v>46</v>
      </c>
      <c r="I13">
        <v>15</v>
      </c>
      <c r="J13" t="s">
        <v>122</v>
      </c>
      <c r="K13">
        <v>60</v>
      </c>
      <c r="L13" t="s">
        <v>22</v>
      </c>
      <c r="N13" t="s">
        <v>404</v>
      </c>
      <c r="O13" t="s">
        <v>75</v>
      </c>
      <c r="P13">
        <v>19</v>
      </c>
      <c r="Q13" t="s">
        <v>404</v>
      </c>
      <c r="R13">
        <v>30</v>
      </c>
      <c r="S13" t="s">
        <v>22</v>
      </c>
    </row>
    <row r="14" spans="1:19" x14ac:dyDescent="0.25">
      <c r="A14" t="s">
        <v>48</v>
      </c>
      <c r="B14">
        <v>6</v>
      </c>
      <c r="C14" t="s">
        <v>109</v>
      </c>
      <c r="D14">
        <v>30</v>
      </c>
      <c r="E14" t="s">
        <v>22</v>
      </c>
      <c r="G14" t="s">
        <v>113</v>
      </c>
      <c r="H14" t="s">
        <v>47</v>
      </c>
      <c r="I14">
        <v>3</v>
      </c>
      <c r="J14" t="s">
        <v>113</v>
      </c>
      <c r="K14">
        <v>30</v>
      </c>
      <c r="L14" t="s">
        <v>22</v>
      </c>
      <c r="N14" t="s">
        <v>405</v>
      </c>
      <c r="O14" t="s">
        <v>75</v>
      </c>
      <c r="P14">
        <v>20</v>
      </c>
      <c r="Q14" t="s">
        <v>405</v>
      </c>
      <c r="R14">
        <v>30</v>
      </c>
      <c r="S14" t="s">
        <v>22</v>
      </c>
    </row>
    <row r="15" spans="1:19" x14ac:dyDescent="0.25">
      <c r="A15" t="s">
        <v>48</v>
      </c>
      <c r="B15">
        <v>7</v>
      </c>
      <c r="C15" t="s">
        <v>110</v>
      </c>
      <c r="D15">
        <v>30</v>
      </c>
      <c r="E15" t="s">
        <v>21</v>
      </c>
      <c r="G15" t="s">
        <v>108</v>
      </c>
      <c r="H15" t="s">
        <v>47</v>
      </c>
      <c r="I15">
        <v>5</v>
      </c>
      <c r="J15" t="s">
        <v>108</v>
      </c>
      <c r="K15">
        <v>30</v>
      </c>
      <c r="L15" t="s">
        <v>22</v>
      </c>
      <c r="N15" t="s">
        <v>406</v>
      </c>
      <c r="O15" t="s">
        <v>75</v>
      </c>
      <c r="P15">
        <v>21</v>
      </c>
      <c r="Q15" t="s">
        <v>406</v>
      </c>
      <c r="R15">
        <v>30</v>
      </c>
      <c r="S15" t="s">
        <v>22</v>
      </c>
    </row>
    <row r="16" spans="1:19" x14ac:dyDescent="0.25">
      <c r="A16" t="s">
        <v>48</v>
      </c>
      <c r="B16">
        <v>10</v>
      </c>
      <c r="C16" t="s">
        <v>117</v>
      </c>
      <c r="D16">
        <v>60</v>
      </c>
      <c r="E16" t="s">
        <v>22</v>
      </c>
      <c r="G16" t="s">
        <v>117</v>
      </c>
      <c r="H16" t="s">
        <v>47</v>
      </c>
      <c r="I16">
        <v>10</v>
      </c>
      <c r="J16" t="s">
        <v>117</v>
      </c>
      <c r="K16">
        <v>60</v>
      </c>
      <c r="L16" t="s">
        <v>22</v>
      </c>
      <c r="N16" t="s">
        <v>407</v>
      </c>
      <c r="O16" t="s">
        <v>75</v>
      </c>
      <c r="P16">
        <v>22</v>
      </c>
      <c r="Q16" t="s">
        <v>407</v>
      </c>
      <c r="R16">
        <v>30</v>
      </c>
      <c r="S16" t="s">
        <v>22</v>
      </c>
    </row>
    <row r="17" spans="1:19" x14ac:dyDescent="0.25">
      <c r="A17" t="s">
        <v>48</v>
      </c>
      <c r="B17">
        <v>12</v>
      </c>
      <c r="C17" t="s">
        <v>119</v>
      </c>
      <c r="D17">
        <v>60</v>
      </c>
      <c r="E17" t="s">
        <v>22</v>
      </c>
      <c r="G17" t="s">
        <v>119</v>
      </c>
      <c r="H17" t="s">
        <v>47</v>
      </c>
      <c r="I17">
        <v>12</v>
      </c>
      <c r="J17" t="s">
        <v>119</v>
      </c>
      <c r="K17">
        <v>60</v>
      </c>
      <c r="L17" t="s">
        <v>22</v>
      </c>
      <c r="N17" t="s">
        <v>408</v>
      </c>
      <c r="O17" t="s">
        <v>75</v>
      </c>
      <c r="P17">
        <v>23</v>
      </c>
      <c r="Q17" t="s">
        <v>408</v>
      </c>
      <c r="R17">
        <v>30</v>
      </c>
      <c r="S17" t="s">
        <v>22</v>
      </c>
    </row>
    <row r="18" spans="1:19" x14ac:dyDescent="0.25">
      <c r="A18" t="s">
        <v>49</v>
      </c>
      <c r="B18">
        <v>1</v>
      </c>
      <c r="C18" t="s">
        <v>106</v>
      </c>
      <c r="D18">
        <v>30</v>
      </c>
      <c r="E18" t="s">
        <v>22</v>
      </c>
      <c r="G18" t="s">
        <v>122</v>
      </c>
      <c r="H18" t="s">
        <v>47</v>
      </c>
      <c r="I18">
        <v>15</v>
      </c>
      <c r="J18" t="s">
        <v>122</v>
      </c>
      <c r="K18">
        <v>60</v>
      </c>
      <c r="L18" t="s">
        <v>22</v>
      </c>
      <c r="N18" t="s">
        <v>409</v>
      </c>
      <c r="O18" t="s">
        <v>75</v>
      </c>
      <c r="P18">
        <v>24</v>
      </c>
      <c r="Q18" t="s">
        <v>409</v>
      </c>
      <c r="R18">
        <v>30</v>
      </c>
      <c r="S18" t="s">
        <v>22</v>
      </c>
    </row>
    <row r="19" spans="1:19" x14ac:dyDescent="0.25">
      <c r="A19" t="s">
        <v>49</v>
      </c>
      <c r="B19">
        <v>2</v>
      </c>
      <c r="C19" t="s">
        <v>107</v>
      </c>
      <c r="D19">
        <v>30</v>
      </c>
      <c r="E19" t="s">
        <v>21</v>
      </c>
      <c r="G19" t="s">
        <v>113</v>
      </c>
      <c r="H19" t="s">
        <v>49</v>
      </c>
      <c r="I19">
        <v>3</v>
      </c>
      <c r="J19" t="s">
        <v>113</v>
      </c>
      <c r="K19">
        <v>30</v>
      </c>
      <c r="L19" t="s">
        <v>22</v>
      </c>
      <c r="N19" t="s">
        <v>410</v>
      </c>
      <c r="O19" t="s">
        <v>75</v>
      </c>
      <c r="P19">
        <v>25</v>
      </c>
      <c r="Q19" t="s">
        <v>410</v>
      </c>
      <c r="R19">
        <v>30</v>
      </c>
      <c r="S19" t="s">
        <v>22</v>
      </c>
    </row>
    <row r="20" spans="1:19" x14ac:dyDescent="0.25">
      <c r="A20" t="s">
        <v>49</v>
      </c>
      <c r="B20">
        <v>6</v>
      </c>
      <c r="C20" t="s">
        <v>109</v>
      </c>
      <c r="D20">
        <v>30</v>
      </c>
      <c r="E20" t="s">
        <v>22</v>
      </c>
      <c r="G20" t="s">
        <v>114</v>
      </c>
      <c r="H20" t="s">
        <v>49</v>
      </c>
      <c r="I20">
        <v>4</v>
      </c>
      <c r="J20" t="s">
        <v>114</v>
      </c>
      <c r="K20">
        <v>30</v>
      </c>
      <c r="L20" t="s">
        <v>22</v>
      </c>
      <c r="N20" t="s">
        <v>413</v>
      </c>
      <c r="O20" t="s">
        <v>75</v>
      </c>
      <c r="P20">
        <v>28</v>
      </c>
      <c r="Q20" t="s">
        <v>413</v>
      </c>
      <c r="R20">
        <v>30</v>
      </c>
      <c r="S20" t="s">
        <v>22</v>
      </c>
    </row>
    <row r="21" spans="1:19" x14ac:dyDescent="0.25">
      <c r="A21" t="s">
        <v>49</v>
      </c>
      <c r="B21">
        <v>7</v>
      </c>
      <c r="C21" t="s">
        <v>110</v>
      </c>
      <c r="D21">
        <v>30</v>
      </c>
      <c r="E21" t="s">
        <v>21</v>
      </c>
      <c r="G21" t="s">
        <v>108</v>
      </c>
      <c r="H21" t="s">
        <v>49</v>
      </c>
      <c r="I21">
        <v>5</v>
      </c>
      <c r="J21" t="s">
        <v>108</v>
      </c>
      <c r="K21">
        <v>30</v>
      </c>
      <c r="L21" t="s">
        <v>22</v>
      </c>
      <c r="N21" t="s">
        <v>414</v>
      </c>
      <c r="O21" t="s">
        <v>75</v>
      </c>
      <c r="P21">
        <v>29</v>
      </c>
      <c r="Q21" t="s">
        <v>414</v>
      </c>
      <c r="R21">
        <v>30</v>
      </c>
      <c r="S21" t="s">
        <v>22</v>
      </c>
    </row>
    <row r="22" spans="1:19" x14ac:dyDescent="0.25">
      <c r="A22" t="s">
        <v>49</v>
      </c>
      <c r="B22">
        <v>14</v>
      </c>
      <c r="C22" t="s">
        <v>121</v>
      </c>
      <c r="D22">
        <v>60</v>
      </c>
      <c r="E22" t="s">
        <v>22</v>
      </c>
      <c r="G22" t="s">
        <v>115</v>
      </c>
      <c r="H22" t="s">
        <v>49</v>
      </c>
      <c r="I22">
        <v>8</v>
      </c>
      <c r="J22" t="s">
        <v>115</v>
      </c>
      <c r="K22">
        <v>30</v>
      </c>
      <c r="L22" t="s">
        <v>22</v>
      </c>
      <c r="N22" t="s">
        <v>421</v>
      </c>
      <c r="O22" t="s">
        <v>75</v>
      </c>
      <c r="P22">
        <v>38</v>
      </c>
      <c r="Q22" t="s">
        <v>421</v>
      </c>
      <c r="R22">
        <v>30</v>
      </c>
      <c r="S22" t="s">
        <v>22</v>
      </c>
    </row>
    <row r="23" spans="1:19" x14ac:dyDescent="0.25">
      <c r="A23" t="s">
        <v>50</v>
      </c>
      <c r="B23">
        <v>1</v>
      </c>
      <c r="C23" t="s">
        <v>106</v>
      </c>
      <c r="D23">
        <v>30</v>
      </c>
      <c r="E23" t="s">
        <v>22</v>
      </c>
      <c r="G23" t="s">
        <v>117</v>
      </c>
      <c r="H23" t="s">
        <v>49</v>
      </c>
      <c r="I23">
        <v>10</v>
      </c>
      <c r="J23" t="s">
        <v>117</v>
      </c>
      <c r="K23">
        <v>60</v>
      </c>
      <c r="L23" t="s">
        <v>22</v>
      </c>
      <c r="N23" t="s">
        <v>422</v>
      </c>
      <c r="O23" t="s">
        <v>75</v>
      </c>
      <c r="P23">
        <v>39</v>
      </c>
      <c r="Q23" t="s">
        <v>422</v>
      </c>
      <c r="R23">
        <v>30</v>
      </c>
      <c r="S23" t="s">
        <v>22</v>
      </c>
    </row>
    <row r="24" spans="1:19" x14ac:dyDescent="0.25">
      <c r="A24" t="s">
        <v>50</v>
      </c>
      <c r="B24">
        <v>2</v>
      </c>
      <c r="C24" t="s">
        <v>107</v>
      </c>
      <c r="D24">
        <v>30</v>
      </c>
      <c r="E24" t="s">
        <v>21</v>
      </c>
      <c r="G24" t="s">
        <v>122</v>
      </c>
      <c r="H24" t="s">
        <v>49</v>
      </c>
      <c r="I24">
        <v>15</v>
      </c>
      <c r="J24" t="s">
        <v>122</v>
      </c>
      <c r="K24">
        <v>60</v>
      </c>
      <c r="L24" t="s">
        <v>22</v>
      </c>
      <c r="N24" t="s">
        <v>399</v>
      </c>
      <c r="O24" t="s">
        <v>76</v>
      </c>
      <c r="P24">
        <v>14</v>
      </c>
      <c r="Q24" t="s">
        <v>399</v>
      </c>
      <c r="R24">
        <v>30</v>
      </c>
      <c r="S24" t="s">
        <v>22</v>
      </c>
    </row>
    <row r="25" spans="1:19" x14ac:dyDescent="0.25">
      <c r="A25" t="s">
        <v>50</v>
      </c>
      <c r="B25">
        <v>6</v>
      </c>
      <c r="C25" t="s">
        <v>109</v>
      </c>
      <c r="D25">
        <v>30</v>
      </c>
      <c r="E25" t="s">
        <v>22</v>
      </c>
      <c r="G25" t="s">
        <v>136</v>
      </c>
      <c r="H25" t="s">
        <v>49</v>
      </c>
      <c r="I25">
        <v>31</v>
      </c>
      <c r="J25" t="s">
        <v>136</v>
      </c>
      <c r="K25">
        <v>60</v>
      </c>
      <c r="L25" t="s">
        <v>22</v>
      </c>
      <c r="N25" t="s">
        <v>400</v>
      </c>
      <c r="O25" t="s">
        <v>76</v>
      </c>
      <c r="P25">
        <v>15</v>
      </c>
      <c r="Q25" t="s">
        <v>400</v>
      </c>
      <c r="R25">
        <v>30</v>
      </c>
      <c r="S25" t="s">
        <v>22</v>
      </c>
    </row>
    <row r="26" spans="1:19" x14ac:dyDescent="0.25">
      <c r="A26" t="s">
        <v>50</v>
      </c>
      <c r="B26">
        <v>7</v>
      </c>
      <c r="C26" t="s">
        <v>110</v>
      </c>
      <c r="D26">
        <v>30</v>
      </c>
      <c r="E26" t="s">
        <v>21</v>
      </c>
      <c r="G26" t="s">
        <v>137</v>
      </c>
      <c r="H26" t="s">
        <v>49</v>
      </c>
      <c r="I26">
        <v>32</v>
      </c>
      <c r="J26" t="s">
        <v>137</v>
      </c>
      <c r="K26">
        <v>60</v>
      </c>
      <c r="L26" t="s">
        <v>22</v>
      </c>
      <c r="N26" t="s">
        <v>404</v>
      </c>
      <c r="O26" t="s">
        <v>76</v>
      </c>
      <c r="P26">
        <v>19</v>
      </c>
      <c r="Q26" t="s">
        <v>404</v>
      </c>
      <c r="R26">
        <v>30</v>
      </c>
      <c r="S26" t="s">
        <v>22</v>
      </c>
    </row>
    <row r="27" spans="1:19" x14ac:dyDescent="0.25">
      <c r="A27" t="s">
        <v>50</v>
      </c>
      <c r="B27">
        <v>15</v>
      </c>
      <c r="C27" t="s">
        <v>122</v>
      </c>
      <c r="D27">
        <v>60</v>
      </c>
      <c r="E27" t="s">
        <v>22</v>
      </c>
      <c r="G27" t="s">
        <v>139</v>
      </c>
      <c r="H27" t="s">
        <v>49</v>
      </c>
      <c r="I27">
        <v>34</v>
      </c>
      <c r="J27" t="s">
        <v>139</v>
      </c>
      <c r="K27">
        <v>60</v>
      </c>
      <c r="L27" t="s">
        <v>22</v>
      </c>
      <c r="N27" t="s">
        <v>405</v>
      </c>
      <c r="O27" t="s">
        <v>76</v>
      </c>
      <c r="P27">
        <v>20</v>
      </c>
      <c r="Q27" t="s">
        <v>405</v>
      </c>
      <c r="R27">
        <v>30</v>
      </c>
      <c r="S27" t="s">
        <v>22</v>
      </c>
    </row>
    <row r="28" spans="1:19" x14ac:dyDescent="0.25">
      <c r="A28" t="s">
        <v>51</v>
      </c>
      <c r="B28">
        <v>1</v>
      </c>
      <c r="C28" t="s">
        <v>106</v>
      </c>
      <c r="D28">
        <v>30</v>
      </c>
      <c r="E28" t="s">
        <v>22</v>
      </c>
      <c r="G28" t="s">
        <v>113</v>
      </c>
      <c r="H28" t="s">
        <v>50</v>
      </c>
      <c r="I28">
        <v>3</v>
      </c>
      <c r="J28" t="s">
        <v>113</v>
      </c>
      <c r="K28">
        <v>30</v>
      </c>
      <c r="L28" t="s">
        <v>22</v>
      </c>
      <c r="N28" t="s">
        <v>406</v>
      </c>
      <c r="O28" t="s">
        <v>76</v>
      </c>
      <c r="P28">
        <v>21</v>
      </c>
      <c r="Q28" t="s">
        <v>406</v>
      </c>
      <c r="R28">
        <v>30</v>
      </c>
      <c r="S28" t="s">
        <v>22</v>
      </c>
    </row>
    <row r="29" spans="1:19" x14ac:dyDescent="0.25">
      <c r="A29" t="s">
        <v>51</v>
      </c>
      <c r="B29">
        <v>2</v>
      </c>
      <c r="C29" t="s">
        <v>107</v>
      </c>
      <c r="D29">
        <v>30</v>
      </c>
      <c r="E29" t="s">
        <v>21</v>
      </c>
      <c r="G29" t="s">
        <v>114</v>
      </c>
      <c r="H29" t="s">
        <v>50</v>
      </c>
      <c r="I29">
        <v>4</v>
      </c>
      <c r="J29" t="s">
        <v>114</v>
      </c>
      <c r="K29">
        <v>30</v>
      </c>
      <c r="L29" t="s">
        <v>22</v>
      </c>
      <c r="N29" t="s">
        <v>407</v>
      </c>
      <c r="O29" t="s">
        <v>76</v>
      </c>
      <c r="P29">
        <v>22</v>
      </c>
      <c r="Q29" t="s">
        <v>407</v>
      </c>
      <c r="R29">
        <v>30</v>
      </c>
      <c r="S29" t="s">
        <v>22</v>
      </c>
    </row>
    <row r="30" spans="1:19" x14ac:dyDescent="0.25">
      <c r="A30" t="s">
        <v>51</v>
      </c>
      <c r="B30">
        <v>6</v>
      </c>
      <c r="C30" t="s">
        <v>109</v>
      </c>
      <c r="D30">
        <v>30</v>
      </c>
      <c r="E30" t="s">
        <v>22</v>
      </c>
      <c r="G30" t="s">
        <v>108</v>
      </c>
      <c r="H30" t="s">
        <v>50</v>
      </c>
      <c r="I30">
        <v>5</v>
      </c>
      <c r="J30" t="s">
        <v>108</v>
      </c>
      <c r="K30">
        <v>30</v>
      </c>
      <c r="L30" t="s">
        <v>22</v>
      </c>
      <c r="N30" t="s">
        <v>408</v>
      </c>
      <c r="O30" t="s">
        <v>76</v>
      </c>
      <c r="P30">
        <v>23</v>
      </c>
      <c r="Q30" t="s">
        <v>408</v>
      </c>
      <c r="R30">
        <v>30</v>
      </c>
      <c r="S30" t="s">
        <v>22</v>
      </c>
    </row>
    <row r="31" spans="1:19" x14ac:dyDescent="0.25">
      <c r="A31" t="s">
        <v>51</v>
      </c>
      <c r="B31">
        <v>7</v>
      </c>
      <c r="C31" t="s">
        <v>110</v>
      </c>
      <c r="D31">
        <v>30</v>
      </c>
      <c r="E31" t="s">
        <v>21</v>
      </c>
      <c r="G31" t="s">
        <v>115</v>
      </c>
      <c r="H31" t="s">
        <v>50</v>
      </c>
      <c r="I31">
        <v>8</v>
      </c>
      <c r="J31" t="s">
        <v>115</v>
      </c>
      <c r="K31">
        <v>30</v>
      </c>
      <c r="L31" t="s">
        <v>22</v>
      </c>
      <c r="N31" t="s">
        <v>409</v>
      </c>
      <c r="O31" t="s">
        <v>76</v>
      </c>
      <c r="P31">
        <v>24</v>
      </c>
      <c r="Q31" t="s">
        <v>409</v>
      </c>
      <c r="R31">
        <v>30</v>
      </c>
      <c r="S31" t="s">
        <v>22</v>
      </c>
    </row>
    <row r="32" spans="1:19" x14ac:dyDescent="0.25">
      <c r="A32" t="s">
        <v>51</v>
      </c>
      <c r="B32">
        <v>13</v>
      </c>
      <c r="C32" t="s">
        <v>120</v>
      </c>
      <c r="D32">
        <v>60</v>
      </c>
      <c r="E32" t="s">
        <v>22</v>
      </c>
      <c r="G32" t="s">
        <v>117</v>
      </c>
      <c r="H32" t="s">
        <v>50</v>
      </c>
      <c r="I32">
        <v>10</v>
      </c>
      <c r="J32" t="s">
        <v>117</v>
      </c>
      <c r="K32">
        <v>60</v>
      </c>
      <c r="L32" t="s">
        <v>22</v>
      </c>
      <c r="N32" t="s">
        <v>410</v>
      </c>
      <c r="O32" t="s">
        <v>76</v>
      </c>
      <c r="P32">
        <v>25</v>
      </c>
      <c r="Q32" t="s">
        <v>410</v>
      </c>
      <c r="R32">
        <v>30</v>
      </c>
      <c r="S32" t="s">
        <v>22</v>
      </c>
    </row>
    <row r="33" spans="1:19" x14ac:dyDescent="0.25">
      <c r="A33" t="s">
        <v>52</v>
      </c>
      <c r="B33">
        <v>1</v>
      </c>
      <c r="C33" t="s">
        <v>106</v>
      </c>
      <c r="D33">
        <v>30</v>
      </c>
      <c r="E33" t="s">
        <v>22</v>
      </c>
      <c r="G33" t="s">
        <v>118</v>
      </c>
      <c r="H33" t="s">
        <v>50</v>
      </c>
      <c r="I33">
        <v>11</v>
      </c>
      <c r="J33" t="s">
        <v>118</v>
      </c>
      <c r="K33">
        <v>60</v>
      </c>
      <c r="L33" t="s">
        <v>22</v>
      </c>
      <c r="N33" t="s">
        <v>413</v>
      </c>
      <c r="O33" t="s">
        <v>76</v>
      </c>
      <c r="P33">
        <v>28</v>
      </c>
      <c r="Q33" t="s">
        <v>413</v>
      </c>
      <c r="R33">
        <v>30</v>
      </c>
      <c r="S33" t="s">
        <v>22</v>
      </c>
    </row>
    <row r="34" spans="1:19" x14ac:dyDescent="0.25">
      <c r="A34" t="s">
        <v>52</v>
      </c>
      <c r="B34">
        <v>2</v>
      </c>
      <c r="C34" t="s">
        <v>107</v>
      </c>
      <c r="D34">
        <v>30</v>
      </c>
      <c r="E34" t="s">
        <v>21</v>
      </c>
      <c r="G34" t="s">
        <v>119</v>
      </c>
      <c r="H34" t="s">
        <v>50</v>
      </c>
      <c r="I34">
        <v>12</v>
      </c>
      <c r="J34" t="s">
        <v>119</v>
      </c>
      <c r="K34">
        <v>60</v>
      </c>
      <c r="L34" t="s">
        <v>22</v>
      </c>
      <c r="N34" t="s">
        <v>414</v>
      </c>
      <c r="O34" t="s">
        <v>76</v>
      </c>
      <c r="P34">
        <v>29</v>
      </c>
      <c r="Q34" t="s">
        <v>414</v>
      </c>
      <c r="R34">
        <v>30</v>
      </c>
      <c r="S34" t="s">
        <v>22</v>
      </c>
    </row>
    <row r="35" spans="1:19" x14ac:dyDescent="0.25">
      <c r="A35" t="s">
        <v>52</v>
      </c>
      <c r="B35">
        <v>6</v>
      </c>
      <c r="C35" t="s">
        <v>109</v>
      </c>
      <c r="D35">
        <v>30</v>
      </c>
      <c r="E35" t="s">
        <v>22</v>
      </c>
      <c r="G35" t="s">
        <v>108</v>
      </c>
      <c r="H35" t="s">
        <v>51</v>
      </c>
      <c r="I35">
        <v>5</v>
      </c>
      <c r="J35" t="s">
        <v>108</v>
      </c>
      <c r="K35">
        <v>30</v>
      </c>
      <c r="L35" t="s">
        <v>22</v>
      </c>
      <c r="N35" t="s">
        <v>421</v>
      </c>
      <c r="O35" t="s">
        <v>76</v>
      </c>
      <c r="P35">
        <v>38</v>
      </c>
      <c r="Q35" t="s">
        <v>421</v>
      </c>
      <c r="R35">
        <v>30</v>
      </c>
      <c r="S35" t="s">
        <v>22</v>
      </c>
    </row>
    <row r="36" spans="1:19" x14ac:dyDescent="0.25">
      <c r="A36" t="s">
        <v>52</v>
      </c>
      <c r="B36">
        <v>7</v>
      </c>
      <c r="C36" t="s">
        <v>110</v>
      </c>
      <c r="D36">
        <v>30</v>
      </c>
      <c r="E36" t="s">
        <v>21</v>
      </c>
      <c r="G36" t="s">
        <v>115</v>
      </c>
      <c r="H36" t="s">
        <v>51</v>
      </c>
      <c r="I36">
        <v>8</v>
      </c>
      <c r="J36" t="s">
        <v>115</v>
      </c>
      <c r="K36">
        <v>30</v>
      </c>
      <c r="L36" t="s">
        <v>22</v>
      </c>
      <c r="N36" t="s">
        <v>422</v>
      </c>
      <c r="O36" t="s">
        <v>76</v>
      </c>
      <c r="P36">
        <v>39</v>
      </c>
      <c r="Q36" t="s">
        <v>422</v>
      </c>
      <c r="R36">
        <v>30</v>
      </c>
      <c r="S36" t="s">
        <v>22</v>
      </c>
    </row>
    <row r="37" spans="1:19" x14ac:dyDescent="0.25">
      <c r="A37" t="s">
        <v>52</v>
      </c>
      <c r="B37">
        <v>11</v>
      </c>
      <c r="C37" t="s">
        <v>118</v>
      </c>
      <c r="D37">
        <v>60</v>
      </c>
      <c r="E37" t="s">
        <v>22</v>
      </c>
      <c r="G37" t="s">
        <v>116</v>
      </c>
      <c r="H37" t="s">
        <v>51</v>
      </c>
      <c r="I37">
        <v>9</v>
      </c>
      <c r="J37" t="s">
        <v>116</v>
      </c>
      <c r="K37">
        <v>60</v>
      </c>
      <c r="L37" t="s">
        <v>22</v>
      </c>
      <c r="N37" t="s">
        <v>400</v>
      </c>
      <c r="O37" t="s">
        <v>77</v>
      </c>
      <c r="P37">
        <v>15</v>
      </c>
      <c r="Q37" t="s">
        <v>400</v>
      </c>
      <c r="R37">
        <v>30</v>
      </c>
      <c r="S37" t="s">
        <v>22</v>
      </c>
    </row>
    <row r="38" spans="1:19" x14ac:dyDescent="0.25">
      <c r="A38" t="s">
        <v>53</v>
      </c>
      <c r="B38">
        <v>1</v>
      </c>
      <c r="C38" t="s">
        <v>152</v>
      </c>
      <c r="D38">
        <v>30</v>
      </c>
      <c r="E38" t="s">
        <v>22</v>
      </c>
      <c r="G38" t="s">
        <v>117</v>
      </c>
      <c r="H38" t="s">
        <v>51</v>
      </c>
      <c r="I38">
        <v>10</v>
      </c>
      <c r="J38" t="s">
        <v>117</v>
      </c>
      <c r="K38">
        <v>60</v>
      </c>
      <c r="L38" t="s">
        <v>22</v>
      </c>
      <c r="N38" t="s">
        <v>401</v>
      </c>
      <c r="O38" t="s">
        <v>77</v>
      </c>
      <c r="P38">
        <v>16</v>
      </c>
      <c r="Q38" t="s">
        <v>401</v>
      </c>
      <c r="R38">
        <v>30</v>
      </c>
      <c r="S38" t="s">
        <v>22</v>
      </c>
    </row>
    <row r="39" spans="1:19" x14ac:dyDescent="0.25">
      <c r="A39" t="s">
        <v>53</v>
      </c>
      <c r="B39">
        <v>2</v>
      </c>
      <c r="C39" t="s">
        <v>153</v>
      </c>
      <c r="D39">
        <v>30</v>
      </c>
      <c r="E39" t="s">
        <v>21</v>
      </c>
      <c r="G39" t="s">
        <v>118</v>
      </c>
      <c r="H39" t="s">
        <v>51</v>
      </c>
      <c r="I39">
        <v>11</v>
      </c>
      <c r="J39" t="s">
        <v>118</v>
      </c>
      <c r="K39">
        <v>60</v>
      </c>
      <c r="L39" t="s">
        <v>22</v>
      </c>
      <c r="N39" t="s">
        <v>402</v>
      </c>
      <c r="O39" t="s">
        <v>77</v>
      </c>
      <c r="P39">
        <v>17</v>
      </c>
      <c r="Q39" t="s">
        <v>402</v>
      </c>
      <c r="R39">
        <v>30</v>
      </c>
      <c r="S39" t="s">
        <v>22</v>
      </c>
    </row>
    <row r="40" spans="1:19" x14ac:dyDescent="0.25">
      <c r="A40" t="s">
        <v>53</v>
      </c>
      <c r="B40">
        <v>9</v>
      </c>
      <c r="C40" t="s">
        <v>155</v>
      </c>
      <c r="D40">
        <v>30</v>
      </c>
      <c r="E40" t="s">
        <v>21</v>
      </c>
      <c r="G40" t="s">
        <v>119</v>
      </c>
      <c r="H40" t="s">
        <v>51</v>
      </c>
      <c r="I40">
        <v>12</v>
      </c>
      <c r="J40" t="s">
        <v>119</v>
      </c>
      <c r="K40">
        <v>60</v>
      </c>
      <c r="L40" t="s">
        <v>22</v>
      </c>
      <c r="N40" t="s">
        <v>403</v>
      </c>
      <c r="O40" t="s">
        <v>77</v>
      </c>
      <c r="P40">
        <v>18</v>
      </c>
      <c r="Q40" t="s">
        <v>403</v>
      </c>
      <c r="R40">
        <v>30</v>
      </c>
      <c r="S40" t="s">
        <v>22</v>
      </c>
    </row>
    <row r="41" spans="1:19" x14ac:dyDescent="0.25">
      <c r="A41" t="s">
        <v>58</v>
      </c>
      <c r="B41">
        <v>1</v>
      </c>
      <c r="C41" t="s">
        <v>184</v>
      </c>
      <c r="D41">
        <v>30</v>
      </c>
      <c r="E41" t="s">
        <v>21</v>
      </c>
      <c r="G41" t="s">
        <v>121</v>
      </c>
      <c r="H41" t="s">
        <v>51</v>
      </c>
      <c r="I41">
        <v>14</v>
      </c>
      <c r="J41" t="s">
        <v>121</v>
      </c>
      <c r="K41">
        <v>60</v>
      </c>
      <c r="L41" t="s">
        <v>22</v>
      </c>
      <c r="N41" t="s">
        <v>404</v>
      </c>
      <c r="O41" t="s">
        <v>77</v>
      </c>
      <c r="P41">
        <v>19</v>
      </c>
      <c r="Q41" t="s">
        <v>404</v>
      </c>
      <c r="R41">
        <v>30</v>
      </c>
      <c r="S41" t="s">
        <v>22</v>
      </c>
    </row>
    <row r="42" spans="1:19" x14ac:dyDescent="0.25">
      <c r="A42" t="s">
        <v>58</v>
      </c>
      <c r="B42">
        <v>2</v>
      </c>
      <c r="C42" t="s">
        <v>185</v>
      </c>
      <c r="D42">
        <v>30</v>
      </c>
      <c r="E42" t="s">
        <v>22</v>
      </c>
      <c r="G42" t="s">
        <v>133</v>
      </c>
      <c r="H42" t="s">
        <v>51</v>
      </c>
      <c r="I42">
        <v>28</v>
      </c>
      <c r="J42" t="s">
        <v>133</v>
      </c>
      <c r="K42">
        <v>60</v>
      </c>
      <c r="L42" t="s">
        <v>22</v>
      </c>
      <c r="N42" t="s">
        <v>405</v>
      </c>
      <c r="O42" t="s">
        <v>77</v>
      </c>
      <c r="P42">
        <v>20</v>
      </c>
      <c r="Q42" t="s">
        <v>405</v>
      </c>
      <c r="R42">
        <v>30</v>
      </c>
      <c r="S42" t="s">
        <v>22</v>
      </c>
    </row>
    <row r="43" spans="1:19" x14ac:dyDescent="0.25">
      <c r="A43" t="s">
        <v>58</v>
      </c>
      <c r="B43">
        <v>3</v>
      </c>
      <c r="C43" t="s">
        <v>186</v>
      </c>
      <c r="D43">
        <v>30</v>
      </c>
      <c r="E43" t="s">
        <v>22</v>
      </c>
      <c r="G43" t="s">
        <v>134</v>
      </c>
      <c r="H43" t="s">
        <v>51</v>
      </c>
      <c r="I43">
        <v>29</v>
      </c>
      <c r="J43" t="s">
        <v>134</v>
      </c>
      <c r="K43">
        <v>60</v>
      </c>
      <c r="L43" t="s">
        <v>22</v>
      </c>
      <c r="N43" t="s">
        <v>406</v>
      </c>
      <c r="O43" t="s">
        <v>77</v>
      </c>
      <c r="P43">
        <v>21</v>
      </c>
      <c r="Q43" t="s">
        <v>406</v>
      </c>
      <c r="R43">
        <v>30</v>
      </c>
      <c r="S43" t="s">
        <v>22</v>
      </c>
    </row>
    <row r="44" spans="1:19" x14ac:dyDescent="0.25">
      <c r="A44" t="s">
        <v>58</v>
      </c>
      <c r="B44">
        <v>11</v>
      </c>
      <c r="C44" t="s">
        <v>188</v>
      </c>
      <c r="D44">
        <v>30</v>
      </c>
      <c r="E44" t="s">
        <v>21</v>
      </c>
      <c r="G44" t="s">
        <v>141</v>
      </c>
      <c r="H44" t="s">
        <v>51</v>
      </c>
      <c r="I44">
        <v>36</v>
      </c>
      <c r="J44" t="s">
        <v>141</v>
      </c>
      <c r="K44">
        <v>60</v>
      </c>
      <c r="L44" t="s">
        <v>22</v>
      </c>
      <c r="N44" t="s">
        <v>407</v>
      </c>
      <c r="O44" t="s">
        <v>77</v>
      </c>
      <c r="P44">
        <v>22</v>
      </c>
      <c r="Q44" t="s">
        <v>407</v>
      </c>
      <c r="R44">
        <v>30</v>
      </c>
      <c r="S44" t="s">
        <v>22</v>
      </c>
    </row>
    <row r="45" spans="1:19" x14ac:dyDescent="0.25">
      <c r="A45" t="s">
        <v>59</v>
      </c>
      <c r="B45">
        <v>1</v>
      </c>
      <c r="C45" t="s">
        <v>212</v>
      </c>
      <c r="D45">
        <v>30</v>
      </c>
      <c r="E45" t="s">
        <v>21</v>
      </c>
      <c r="G45" t="s">
        <v>145</v>
      </c>
      <c r="H45" t="s">
        <v>51</v>
      </c>
      <c r="I45">
        <v>40</v>
      </c>
      <c r="J45" t="s">
        <v>145</v>
      </c>
      <c r="K45">
        <v>60</v>
      </c>
      <c r="L45" t="s">
        <v>22</v>
      </c>
      <c r="N45" t="s">
        <v>408</v>
      </c>
      <c r="O45" t="s">
        <v>77</v>
      </c>
      <c r="P45">
        <v>23</v>
      </c>
      <c r="Q45" t="s">
        <v>408</v>
      </c>
      <c r="R45">
        <v>30</v>
      </c>
      <c r="S45" t="s">
        <v>22</v>
      </c>
    </row>
    <row r="46" spans="1:19" x14ac:dyDescent="0.25">
      <c r="A46" t="s">
        <v>59</v>
      </c>
      <c r="B46">
        <v>2</v>
      </c>
      <c r="C46" t="s">
        <v>213</v>
      </c>
      <c r="D46">
        <v>30</v>
      </c>
      <c r="E46" t="s">
        <v>22</v>
      </c>
      <c r="G46" t="s">
        <v>114</v>
      </c>
      <c r="H46" t="s">
        <v>52</v>
      </c>
      <c r="I46">
        <v>4</v>
      </c>
      <c r="J46" t="s">
        <v>114</v>
      </c>
      <c r="K46">
        <v>30</v>
      </c>
      <c r="L46" t="s">
        <v>22</v>
      </c>
      <c r="N46" t="s">
        <v>409</v>
      </c>
      <c r="O46" t="s">
        <v>77</v>
      </c>
      <c r="P46">
        <v>24</v>
      </c>
      <c r="Q46" t="s">
        <v>409</v>
      </c>
      <c r="R46">
        <v>30</v>
      </c>
      <c r="S46" t="s">
        <v>22</v>
      </c>
    </row>
    <row r="47" spans="1:19" x14ac:dyDescent="0.25">
      <c r="A47" t="s">
        <v>59</v>
      </c>
      <c r="B47">
        <v>8</v>
      </c>
      <c r="C47" t="s">
        <v>214</v>
      </c>
      <c r="D47">
        <v>30</v>
      </c>
      <c r="E47" t="s">
        <v>21</v>
      </c>
      <c r="G47" t="s">
        <v>108</v>
      </c>
      <c r="H47" t="s">
        <v>52</v>
      </c>
      <c r="I47">
        <v>5</v>
      </c>
      <c r="J47" t="s">
        <v>108</v>
      </c>
      <c r="K47">
        <v>30</v>
      </c>
      <c r="L47" t="s">
        <v>22</v>
      </c>
      <c r="N47" t="s">
        <v>410</v>
      </c>
      <c r="O47" t="s">
        <v>77</v>
      </c>
      <c r="P47">
        <v>25</v>
      </c>
      <c r="Q47" t="s">
        <v>410</v>
      </c>
      <c r="R47">
        <v>30</v>
      </c>
      <c r="S47" t="s">
        <v>22</v>
      </c>
    </row>
    <row r="48" spans="1:19" x14ac:dyDescent="0.25">
      <c r="A48" t="s">
        <v>60</v>
      </c>
      <c r="B48">
        <v>1</v>
      </c>
      <c r="C48" t="s">
        <v>234</v>
      </c>
      <c r="D48">
        <v>30</v>
      </c>
      <c r="E48" t="s">
        <v>21</v>
      </c>
      <c r="G48" t="s">
        <v>115</v>
      </c>
      <c r="H48" t="s">
        <v>52</v>
      </c>
      <c r="I48">
        <v>8</v>
      </c>
      <c r="J48" t="s">
        <v>115</v>
      </c>
      <c r="K48">
        <v>30</v>
      </c>
      <c r="L48" t="s">
        <v>22</v>
      </c>
      <c r="N48" t="s">
        <v>413</v>
      </c>
      <c r="O48" t="s">
        <v>77</v>
      </c>
      <c r="P48">
        <v>28</v>
      </c>
      <c r="Q48" t="s">
        <v>413</v>
      </c>
      <c r="R48">
        <v>30</v>
      </c>
      <c r="S48" t="s">
        <v>22</v>
      </c>
    </row>
    <row r="49" spans="1:19" x14ac:dyDescent="0.25">
      <c r="A49" t="s">
        <v>60</v>
      </c>
      <c r="B49">
        <v>2</v>
      </c>
      <c r="C49" t="s">
        <v>235</v>
      </c>
      <c r="D49">
        <v>30</v>
      </c>
      <c r="E49" t="s">
        <v>22</v>
      </c>
      <c r="G49" t="s">
        <v>117</v>
      </c>
      <c r="H49" t="s">
        <v>52</v>
      </c>
      <c r="I49">
        <v>10</v>
      </c>
      <c r="J49" t="s">
        <v>117</v>
      </c>
      <c r="K49">
        <v>60</v>
      </c>
      <c r="L49" t="s">
        <v>22</v>
      </c>
      <c r="N49" t="s">
        <v>414</v>
      </c>
      <c r="O49" t="s">
        <v>77</v>
      </c>
      <c r="P49">
        <v>29</v>
      </c>
      <c r="Q49" t="s">
        <v>414</v>
      </c>
      <c r="R49">
        <v>30</v>
      </c>
      <c r="S49" t="s">
        <v>22</v>
      </c>
    </row>
    <row r="50" spans="1:19" x14ac:dyDescent="0.25">
      <c r="A50" t="s">
        <v>60</v>
      </c>
      <c r="B50">
        <v>9</v>
      </c>
      <c r="C50" t="s">
        <v>238</v>
      </c>
      <c r="D50">
        <v>30</v>
      </c>
      <c r="E50" t="s">
        <v>21</v>
      </c>
      <c r="G50" t="s">
        <v>120</v>
      </c>
      <c r="H50" t="s">
        <v>52</v>
      </c>
      <c r="I50">
        <v>13</v>
      </c>
      <c r="J50" t="s">
        <v>120</v>
      </c>
      <c r="K50">
        <v>60</v>
      </c>
      <c r="L50" t="s">
        <v>22</v>
      </c>
      <c r="N50" t="s">
        <v>396</v>
      </c>
      <c r="O50" t="s">
        <v>78</v>
      </c>
      <c r="P50">
        <v>11</v>
      </c>
      <c r="Q50" t="s">
        <v>396</v>
      </c>
      <c r="R50">
        <v>30</v>
      </c>
      <c r="S50" t="s">
        <v>22</v>
      </c>
    </row>
    <row r="51" spans="1:19" x14ac:dyDescent="0.25">
      <c r="A51" t="s">
        <v>60</v>
      </c>
      <c r="B51">
        <v>10</v>
      </c>
      <c r="C51" t="s">
        <v>239</v>
      </c>
      <c r="D51">
        <v>30</v>
      </c>
      <c r="E51" t="s">
        <v>22</v>
      </c>
      <c r="G51" t="s">
        <v>121</v>
      </c>
      <c r="H51" t="s">
        <v>52</v>
      </c>
      <c r="I51">
        <v>14</v>
      </c>
      <c r="J51" t="s">
        <v>121</v>
      </c>
      <c r="K51">
        <v>60</v>
      </c>
      <c r="L51" t="s">
        <v>22</v>
      </c>
      <c r="N51" t="s">
        <v>398</v>
      </c>
      <c r="O51" t="s">
        <v>78</v>
      </c>
      <c r="P51">
        <v>13</v>
      </c>
      <c r="Q51" t="s">
        <v>398</v>
      </c>
      <c r="R51">
        <v>30</v>
      </c>
      <c r="S51" t="s">
        <v>22</v>
      </c>
    </row>
    <row r="52" spans="1:19" x14ac:dyDescent="0.25">
      <c r="A52" t="s">
        <v>64</v>
      </c>
      <c r="B52">
        <v>1</v>
      </c>
      <c r="C52" t="s">
        <v>279</v>
      </c>
      <c r="D52">
        <v>30</v>
      </c>
      <c r="E52" t="s">
        <v>21</v>
      </c>
      <c r="G52" t="s">
        <v>122</v>
      </c>
      <c r="H52" t="s">
        <v>52</v>
      </c>
      <c r="I52">
        <v>15</v>
      </c>
      <c r="J52" t="s">
        <v>122</v>
      </c>
      <c r="K52">
        <v>60</v>
      </c>
      <c r="L52" t="s">
        <v>22</v>
      </c>
      <c r="N52" t="s">
        <v>399</v>
      </c>
      <c r="O52" t="s">
        <v>78</v>
      </c>
      <c r="P52">
        <v>14</v>
      </c>
      <c r="Q52" t="s">
        <v>399</v>
      </c>
      <c r="R52">
        <v>30</v>
      </c>
      <c r="S52" t="s">
        <v>22</v>
      </c>
    </row>
    <row r="53" spans="1:19" x14ac:dyDescent="0.25">
      <c r="A53" t="s">
        <v>64</v>
      </c>
      <c r="B53">
        <v>2</v>
      </c>
      <c r="C53" t="s">
        <v>280</v>
      </c>
      <c r="D53">
        <v>30</v>
      </c>
      <c r="E53" t="s">
        <v>22</v>
      </c>
      <c r="G53" t="s">
        <v>111</v>
      </c>
      <c r="H53" t="s">
        <v>52</v>
      </c>
      <c r="I53">
        <v>16</v>
      </c>
      <c r="J53" t="s">
        <v>111</v>
      </c>
      <c r="K53">
        <v>30</v>
      </c>
      <c r="L53" t="s">
        <v>22</v>
      </c>
      <c r="N53" t="s">
        <v>400</v>
      </c>
      <c r="O53" t="s">
        <v>78</v>
      </c>
      <c r="P53">
        <v>15</v>
      </c>
      <c r="Q53" t="s">
        <v>400</v>
      </c>
      <c r="R53">
        <v>30</v>
      </c>
      <c r="S53" t="s">
        <v>22</v>
      </c>
    </row>
    <row r="54" spans="1:19" x14ac:dyDescent="0.25">
      <c r="A54" t="s">
        <v>64</v>
      </c>
      <c r="B54">
        <v>3</v>
      </c>
      <c r="C54" t="s">
        <v>281</v>
      </c>
      <c r="D54">
        <v>30</v>
      </c>
      <c r="E54" t="s">
        <v>22</v>
      </c>
      <c r="G54" t="s">
        <v>123</v>
      </c>
      <c r="H54" t="s">
        <v>52</v>
      </c>
      <c r="I54">
        <v>17</v>
      </c>
      <c r="J54" t="s">
        <v>123</v>
      </c>
      <c r="K54">
        <v>30</v>
      </c>
      <c r="L54" t="s">
        <v>22</v>
      </c>
      <c r="N54" t="s">
        <v>401</v>
      </c>
      <c r="O54" t="s">
        <v>78</v>
      </c>
      <c r="P54">
        <v>16</v>
      </c>
      <c r="Q54" t="s">
        <v>401</v>
      </c>
      <c r="R54">
        <v>30</v>
      </c>
      <c r="S54" t="s">
        <v>22</v>
      </c>
    </row>
    <row r="55" spans="1:19" x14ac:dyDescent="0.25">
      <c r="A55" t="s">
        <v>64</v>
      </c>
      <c r="B55">
        <v>9</v>
      </c>
      <c r="C55" t="s">
        <v>284</v>
      </c>
      <c r="D55">
        <v>30</v>
      </c>
      <c r="E55" t="s">
        <v>21</v>
      </c>
      <c r="G55" t="s">
        <v>125</v>
      </c>
      <c r="H55" t="s">
        <v>52</v>
      </c>
      <c r="I55">
        <v>19</v>
      </c>
      <c r="J55" t="s">
        <v>125</v>
      </c>
      <c r="K55">
        <v>60</v>
      </c>
      <c r="L55" t="s">
        <v>22</v>
      </c>
      <c r="N55" t="s">
        <v>402</v>
      </c>
      <c r="O55" t="s">
        <v>78</v>
      </c>
      <c r="P55">
        <v>17</v>
      </c>
      <c r="Q55" t="s">
        <v>402</v>
      </c>
      <c r="R55">
        <v>30</v>
      </c>
      <c r="S55" t="s">
        <v>22</v>
      </c>
    </row>
    <row r="56" spans="1:19" x14ac:dyDescent="0.25">
      <c r="A56" t="s">
        <v>69</v>
      </c>
      <c r="B56">
        <v>1</v>
      </c>
      <c r="C56" t="s">
        <v>304</v>
      </c>
      <c r="D56">
        <v>30</v>
      </c>
      <c r="E56" t="s">
        <v>21</v>
      </c>
      <c r="G56" t="s">
        <v>126</v>
      </c>
      <c r="H56" t="s">
        <v>52</v>
      </c>
      <c r="I56">
        <v>20</v>
      </c>
      <c r="J56" t="s">
        <v>126</v>
      </c>
      <c r="K56">
        <v>60</v>
      </c>
      <c r="L56" t="s">
        <v>22</v>
      </c>
      <c r="N56" t="s">
        <v>403</v>
      </c>
      <c r="O56" t="s">
        <v>78</v>
      </c>
      <c r="P56">
        <v>18</v>
      </c>
      <c r="Q56" t="s">
        <v>403</v>
      </c>
      <c r="R56">
        <v>30</v>
      </c>
      <c r="S56" t="s">
        <v>22</v>
      </c>
    </row>
    <row r="57" spans="1:19" x14ac:dyDescent="0.25">
      <c r="A57" t="s">
        <v>69</v>
      </c>
      <c r="B57">
        <v>2</v>
      </c>
      <c r="C57" t="s">
        <v>305</v>
      </c>
      <c r="D57">
        <v>30</v>
      </c>
      <c r="E57" t="s">
        <v>22</v>
      </c>
      <c r="G57" t="s">
        <v>127</v>
      </c>
      <c r="H57" t="s">
        <v>52</v>
      </c>
      <c r="I57">
        <v>21</v>
      </c>
      <c r="J57" t="s">
        <v>127</v>
      </c>
      <c r="K57">
        <v>60</v>
      </c>
      <c r="L57" t="s">
        <v>22</v>
      </c>
    </row>
    <row r="58" spans="1:19" x14ac:dyDescent="0.25">
      <c r="A58" t="s">
        <v>69</v>
      </c>
      <c r="B58">
        <v>3</v>
      </c>
      <c r="C58" t="s">
        <v>306</v>
      </c>
      <c r="D58">
        <v>30</v>
      </c>
      <c r="E58" t="s">
        <v>22</v>
      </c>
      <c r="G58" t="s">
        <v>112</v>
      </c>
      <c r="H58" t="s">
        <v>52</v>
      </c>
      <c r="I58">
        <v>23</v>
      </c>
      <c r="J58" t="s">
        <v>112</v>
      </c>
      <c r="K58">
        <v>60</v>
      </c>
      <c r="L58" t="s">
        <v>22</v>
      </c>
    </row>
    <row r="59" spans="1:19" x14ac:dyDescent="0.25">
      <c r="A59" t="s">
        <v>69</v>
      </c>
      <c r="B59">
        <v>9</v>
      </c>
      <c r="C59" t="s">
        <v>307</v>
      </c>
      <c r="D59">
        <v>30</v>
      </c>
      <c r="E59" t="s">
        <v>21</v>
      </c>
      <c r="G59" t="s">
        <v>131</v>
      </c>
      <c r="H59" t="s">
        <v>52</v>
      </c>
      <c r="I59">
        <v>26</v>
      </c>
      <c r="J59" t="s">
        <v>131</v>
      </c>
      <c r="K59">
        <v>60</v>
      </c>
      <c r="L59" t="s">
        <v>22</v>
      </c>
    </row>
    <row r="60" spans="1:19" x14ac:dyDescent="0.25">
      <c r="A60" t="s">
        <v>70</v>
      </c>
      <c r="B60">
        <v>1</v>
      </c>
      <c r="C60" t="s">
        <v>327</v>
      </c>
      <c r="D60">
        <v>30</v>
      </c>
      <c r="E60" t="s">
        <v>21</v>
      </c>
      <c r="G60" t="s">
        <v>133</v>
      </c>
      <c r="H60" t="s">
        <v>52</v>
      </c>
      <c r="I60">
        <v>28</v>
      </c>
      <c r="J60" t="s">
        <v>133</v>
      </c>
      <c r="K60">
        <v>60</v>
      </c>
      <c r="L60" t="s">
        <v>22</v>
      </c>
    </row>
    <row r="61" spans="1:19" x14ac:dyDescent="0.25">
      <c r="A61" t="s">
        <v>70</v>
      </c>
      <c r="B61">
        <v>2</v>
      </c>
      <c r="C61" t="s">
        <v>328</v>
      </c>
      <c r="D61">
        <v>30</v>
      </c>
      <c r="E61" t="s">
        <v>21</v>
      </c>
      <c r="G61" t="s">
        <v>134</v>
      </c>
      <c r="H61" t="s">
        <v>52</v>
      </c>
      <c r="I61">
        <v>29</v>
      </c>
      <c r="J61" t="s">
        <v>134</v>
      </c>
      <c r="K61">
        <v>60</v>
      </c>
      <c r="L61" t="s">
        <v>22</v>
      </c>
    </row>
    <row r="62" spans="1:19" x14ac:dyDescent="0.25">
      <c r="A62" t="s">
        <v>70</v>
      </c>
      <c r="B62">
        <v>3</v>
      </c>
      <c r="C62" t="s">
        <v>329</v>
      </c>
      <c r="D62">
        <v>30</v>
      </c>
      <c r="E62" t="s">
        <v>22</v>
      </c>
      <c r="G62" t="s">
        <v>135</v>
      </c>
      <c r="H62" t="s">
        <v>52</v>
      </c>
      <c r="I62">
        <v>30</v>
      </c>
      <c r="J62" t="s">
        <v>135</v>
      </c>
      <c r="K62">
        <v>60</v>
      </c>
      <c r="L62" t="s">
        <v>22</v>
      </c>
    </row>
    <row r="63" spans="1:19" x14ac:dyDescent="0.25">
      <c r="A63" t="s">
        <v>73</v>
      </c>
      <c r="B63">
        <v>1</v>
      </c>
      <c r="C63" t="s">
        <v>356</v>
      </c>
      <c r="D63">
        <v>30</v>
      </c>
      <c r="E63" t="s">
        <v>21</v>
      </c>
      <c r="G63" t="s">
        <v>142</v>
      </c>
      <c r="H63" t="s">
        <v>52</v>
      </c>
      <c r="I63">
        <v>37</v>
      </c>
      <c r="J63" t="s">
        <v>142</v>
      </c>
      <c r="K63">
        <v>30</v>
      </c>
      <c r="L63" t="s">
        <v>22</v>
      </c>
    </row>
    <row r="64" spans="1:19" x14ac:dyDescent="0.25">
      <c r="A64" t="s">
        <v>73</v>
      </c>
      <c r="B64">
        <v>2</v>
      </c>
      <c r="C64" t="s">
        <v>357</v>
      </c>
      <c r="D64">
        <v>30</v>
      </c>
      <c r="E64" t="s">
        <v>22</v>
      </c>
      <c r="G64" t="s">
        <v>144</v>
      </c>
      <c r="H64" t="s">
        <v>52</v>
      </c>
      <c r="I64">
        <v>39</v>
      </c>
      <c r="J64" t="s">
        <v>144</v>
      </c>
      <c r="K64">
        <v>60</v>
      </c>
      <c r="L64" t="s">
        <v>22</v>
      </c>
    </row>
    <row r="65" spans="1:12" x14ac:dyDescent="0.25">
      <c r="A65" t="s">
        <v>73</v>
      </c>
      <c r="B65">
        <v>8</v>
      </c>
      <c r="C65" t="s">
        <v>358</v>
      </c>
      <c r="D65">
        <v>30</v>
      </c>
      <c r="E65" t="s">
        <v>21</v>
      </c>
      <c r="G65" t="s">
        <v>145</v>
      </c>
      <c r="H65" t="s">
        <v>52</v>
      </c>
      <c r="I65">
        <v>40</v>
      </c>
      <c r="J65" t="s">
        <v>145</v>
      </c>
      <c r="K65">
        <v>60</v>
      </c>
      <c r="L65" t="s">
        <v>22</v>
      </c>
    </row>
    <row r="66" spans="1:12" x14ac:dyDescent="0.25">
      <c r="A66" t="s">
        <v>75</v>
      </c>
      <c r="B66">
        <v>1</v>
      </c>
      <c r="C66" t="s">
        <v>384</v>
      </c>
      <c r="D66">
        <v>30</v>
      </c>
      <c r="E66" t="s">
        <v>21</v>
      </c>
      <c r="G66" t="s">
        <v>154</v>
      </c>
      <c r="H66" t="s">
        <v>53</v>
      </c>
      <c r="I66">
        <v>3</v>
      </c>
      <c r="J66" t="s">
        <v>154</v>
      </c>
      <c r="K66">
        <v>30</v>
      </c>
      <c r="L66" t="s">
        <v>22</v>
      </c>
    </row>
    <row r="67" spans="1:12" x14ac:dyDescent="0.25">
      <c r="A67" t="s">
        <v>75</v>
      </c>
      <c r="B67">
        <v>2</v>
      </c>
      <c r="C67" t="s">
        <v>385</v>
      </c>
      <c r="D67">
        <v>30</v>
      </c>
      <c r="E67" t="s">
        <v>22</v>
      </c>
      <c r="G67" t="s">
        <v>158</v>
      </c>
      <c r="H67" t="s">
        <v>53</v>
      </c>
      <c r="I67">
        <v>4</v>
      </c>
      <c r="J67" t="s">
        <v>158</v>
      </c>
      <c r="K67">
        <v>30</v>
      </c>
      <c r="L67" t="s">
        <v>22</v>
      </c>
    </row>
    <row r="68" spans="1:12" x14ac:dyDescent="0.25">
      <c r="A68" t="s">
        <v>75</v>
      </c>
      <c r="B68">
        <v>3</v>
      </c>
      <c r="C68" t="s">
        <v>390</v>
      </c>
      <c r="D68">
        <v>60</v>
      </c>
      <c r="E68" t="s">
        <v>22</v>
      </c>
      <c r="G68" t="s">
        <v>159</v>
      </c>
      <c r="H68" t="s">
        <v>53</v>
      </c>
      <c r="I68">
        <v>5</v>
      </c>
      <c r="J68" t="s">
        <v>159</v>
      </c>
      <c r="K68">
        <v>30</v>
      </c>
      <c r="L68" t="s">
        <v>22</v>
      </c>
    </row>
    <row r="69" spans="1:12" x14ac:dyDescent="0.25">
      <c r="A69" t="s">
        <v>75</v>
      </c>
      <c r="B69">
        <v>8</v>
      </c>
      <c r="C69" t="s">
        <v>386</v>
      </c>
      <c r="D69">
        <v>30</v>
      </c>
      <c r="E69" t="s">
        <v>21</v>
      </c>
      <c r="G69" t="s">
        <v>160</v>
      </c>
      <c r="H69" t="s">
        <v>53</v>
      </c>
      <c r="I69">
        <v>6</v>
      </c>
      <c r="J69" t="s">
        <v>160</v>
      </c>
      <c r="K69">
        <v>30</v>
      </c>
      <c r="L69" t="s">
        <v>22</v>
      </c>
    </row>
    <row r="70" spans="1:12" x14ac:dyDescent="0.25">
      <c r="A70" t="s">
        <v>76</v>
      </c>
      <c r="B70">
        <v>1</v>
      </c>
      <c r="C70" t="s">
        <v>384</v>
      </c>
      <c r="D70">
        <v>30</v>
      </c>
      <c r="E70" t="s">
        <v>21</v>
      </c>
      <c r="G70" t="s">
        <v>161</v>
      </c>
      <c r="H70" t="s">
        <v>53</v>
      </c>
      <c r="I70">
        <v>7</v>
      </c>
      <c r="J70" t="s">
        <v>161</v>
      </c>
      <c r="K70">
        <v>30</v>
      </c>
      <c r="L70" t="s">
        <v>22</v>
      </c>
    </row>
    <row r="71" spans="1:12" x14ac:dyDescent="0.25">
      <c r="A71" t="s">
        <v>76</v>
      </c>
      <c r="B71">
        <v>2</v>
      </c>
      <c r="C71" t="s">
        <v>385</v>
      </c>
      <c r="D71">
        <v>30</v>
      </c>
      <c r="E71" t="s">
        <v>22</v>
      </c>
      <c r="G71" t="s">
        <v>162</v>
      </c>
      <c r="H71" t="s">
        <v>53</v>
      </c>
      <c r="I71">
        <v>8</v>
      </c>
      <c r="J71" t="s">
        <v>162</v>
      </c>
      <c r="K71">
        <v>30</v>
      </c>
      <c r="L71" t="s">
        <v>22</v>
      </c>
    </row>
    <row r="72" spans="1:12" x14ac:dyDescent="0.25">
      <c r="A72" t="s">
        <v>76</v>
      </c>
      <c r="B72">
        <v>4</v>
      </c>
      <c r="C72" t="s">
        <v>391</v>
      </c>
      <c r="D72">
        <v>60</v>
      </c>
      <c r="E72" t="s">
        <v>22</v>
      </c>
      <c r="G72" t="s">
        <v>163</v>
      </c>
      <c r="H72" t="s">
        <v>53</v>
      </c>
      <c r="I72">
        <v>10</v>
      </c>
      <c r="J72" t="s">
        <v>163</v>
      </c>
      <c r="K72">
        <v>30</v>
      </c>
      <c r="L72" t="s">
        <v>22</v>
      </c>
    </row>
    <row r="73" spans="1:12" x14ac:dyDescent="0.25">
      <c r="A73" t="s">
        <v>76</v>
      </c>
      <c r="B73">
        <v>8</v>
      </c>
      <c r="C73" t="s">
        <v>386</v>
      </c>
      <c r="D73">
        <v>30</v>
      </c>
      <c r="E73" t="s">
        <v>21</v>
      </c>
      <c r="G73" t="s">
        <v>164</v>
      </c>
      <c r="H73" t="s">
        <v>53</v>
      </c>
      <c r="I73">
        <v>11</v>
      </c>
      <c r="J73" t="s">
        <v>164</v>
      </c>
      <c r="K73">
        <v>30</v>
      </c>
      <c r="L73" t="s">
        <v>22</v>
      </c>
    </row>
    <row r="74" spans="1:12" x14ac:dyDescent="0.25">
      <c r="A74" t="s">
        <v>77</v>
      </c>
      <c r="B74">
        <v>1</v>
      </c>
      <c r="C74" t="s">
        <v>384</v>
      </c>
      <c r="D74">
        <v>30</v>
      </c>
      <c r="E74" t="s">
        <v>21</v>
      </c>
      <c r="G74" t="s">
        <v>165</v>
      </c>
      <c r="H74" t="s">
        <v>53</v>
      </c>
      <c r="I74">
        <v>12</v>
      </c>
      <c r="J74" t="s">
        <v>165</v>
      </c>
      <c r="K74">
        <v>30</v>
      </c>
      <c r="L74" t="s">
        <v>22</v>
      </c>
    </row>
    <row r="75" spans="1:12" x14ac:dyDescent="0.25">
      <c r="A75" t="s">
        <v>77</v>
      </c>
      <c r="B75">
        <v>2</v>
      </c>
      <c r="C75" t="s">
        <v>385</v>
      </c>
      <c r="D75">
        <v>30</v>
      </c>
      <c r="E75" t="s">
        <v>22</v>
      </c>
      <c r="G75" t="s">
        <v>166</v>
      </c>
      <c r="H75" t="s">
        <v>53</v>
      </c>
      <c r="I75">
        <v>13</v>
      </c>
      <c r="J75" t="s">
        <v>166</v>
      </c>
      <c r="K75">
        <v>30</v>
      </c>
      <c r="L75" t="s">
        <v>22</v>
      </c>
    </row>
    <row r="76" spans="1:12" x14ac:dyDescent="0.25">
      <c r="A76" t="s">
        <v>77</v>
      </c>
      <c r="B76">
        <v>5</v>
      </c>
      <c r="C76" t="s">
        <v>392</v>
      </c>
      <c r="D76">
        <v>60</v>
      </c>
      <c r="E76" t="s">
        <v>22</v>
      </c>
      <c r="G76" t="s">
        <v>167</v>
      </c>
      <c r="H76" t="s">
        <v>53</v>
      </c>
      <c r="I76">
        <v>14</v>
      </c>
      <c r="J76" t="s">
        <v>167</v>
      </c>
      <c r="K76">
        <v>60</v>
      </c>
      <c r="L76" t="s">
        <v>22</v>
      </c>
    </row>
    <row r="77" spans="1:12" x14ac:dyDescent="0.25">
      <c r="A77" t="s">
        <v>77</v>
      </c>
      <c r="B77">
        <v>8</v>
      </c>
      <c r="C77" t="s">
        <v>386</v>
      </c>
      <c r="D77">
        <v>30</v>
      </c>
      <c r="E77" t="s">
        <v>21</v>
      </c>
      <c r="G77" t="s">
        <v>168</v>
      </c>
      <c r="H77" t="s">
        <v>53</v>
      </c>
      <c r="I77">
        <v>15</v>
      </c>
      <c r="J77" t="s">
        <v>168</v>
      </c>
      <c r="K77">
        <v>30</v>
      </c>
      <c r="L77" t="s">
        <v>22</v>
      </c>
    </row>
    <row r="78" spans="1:12" x14ac:dyDescent="0.25">
      <c r="A78" t="s">
        <v>78</v>
      </c>
      <c r="B78">
        <v>1</v>
      </c>
      <c r="C78" t="s">
        <v>384</v>
      </c>
      <c r="D78">
        <v>30</v>
      </c>
      <c r="E78" t="s">
        <v>21</v>
      </c>
      <c r="G78" t="s">
        <v>169</v>
      </c>
      <c r="H78" t="s">
        <v>53</v>
      </c>
      <c r="I78">
        <v>16</v>
      </c>
      <c r="J78" t="s">
        <v>169</v>
      </c>
      <c r="K78">
        <v>30</v>
      </c>
      <c r="L78" t="s">
        <v>22</v>
      </c>
    </row>
    <row r="79" spans="1:12" x14ac:dyDescent="0.25">
      <c r="A79" t="s">
        <v>78</v>
      </c>
      <c r="B79">
        <v>2</v>
      </c>
      <c r="C79" t="s">
        <v>385</v>
      </c>
      <c r="D79">
        <v>30</v>
      </c>
      <c r="E79" t="s">
        <v>22</v>
      </c>
      <c r="G79" t="s">
        <v>170</v>
      </c>
      <c r="H79" t="s">
        <v>53</v>
      </c>
      <c r="I79">
        <v>17</v>
      </c>
      <c r="J79" t="s">
        <v>170</v>
      </c>
      <c r="K79">
        <v>30</v>
      </c>
      <c r="L79" t="s">
        <v>22</v>
      </c>
    </row>
    <row r="80" spans="1:12" x14ac:dyDescent="0.25">
      <c r="A80" t="s">
        <v>78</v>
      </c>
      <c r="B80">
        <v>7</v>
      </c>
      <c r="C80" t="s">
        <v>394</v>
      </c>
      <c r="D80">
        <v>60</v>
      </c>
      <c r="E80" t="s">
        <v>22</v>
      </c>
      <c r="G80" t="s">
        <v>156</v>
      </c>
      <c r="H80" t="s">
        <v>53</v>
      </c>
      <c r="I80">
        <v>18</v>
      </c>
      <c r="J80" t="s">
        <v>156</v>
      </c>
      <c r="K80">
        <v>60</v>
      </c>
      <c r="L80" t="s">
        <v>22</v>
      </c>
    </row>
    <row r="81" spans="1:12" x14ac:dyDescent="0.25">
      <c r="A81" t="s">
        <v>78</v>
      </c>
      <c r="B81">
        <v>8</v>
      </c>
      <c r="C81" t="s">
        <v>386</v>
      </c>
      <c r="D81">
        <v>30</v>
      </c>
      <c r="E81" t="s">
        <v>21</v>
      </c>
      <c r="G81" t="s">
        <v>157</v>
      </c>
      <c r="H81" t="s">
        <v>53</v>
      </c>
      <c r="I81">
        <v>19</v>
      </c>
      <c r="J81" t="s">
        <v>157</v>
      </c>
      <c r="K81">
        <v>60</v>
      </c>
      <c r="L81" t="s">
        <v>22</v>
      </c>
    </row>
    <row r="82" spans="1:12" x14ac:dyDescent="0.25">
      <c r="A82" t="s">
        <v>79</v>
      </c>
      <c r="B82">
        <v>1</v>
      </c>
      <c r="C82" t="s">
        <v>432</v>
      </c>
      <c r="D82">
        <v>30</v>
      </c>
      <c r="E82" t="s">
        <v>21</v>
      </c>
      <c r="G82" t="s">
        <v>171</v>
      </c>
      <c r="H82" t="s">
        <v>53</v>
      </c>
      <c r="I82">
        <v>20</v>
      </c>
      <c r="J82" t="s">
        <v>171</v>
      </c>
      <c r="K82">
        <v>60</v>
      </c>
      <c r="L82" t="s">
        <v>22</v>
      </c>
    </row>
    <row r="83" spans="1:12" x14ac:dyDescent="0.25">
      <c r="A83" t="s">
        <v>79</v>
      </c>
      <c r="B83">
        <v>2</v>
      </c>
      <c r="C83" t="s">
        <v>433</v>
      </c>
      <c r="D83">
        <v>30</v>
      </c>
      <c r="E83" t="s">
        <v>22</v>
      </c>
      <c r="G83" t="s">
        <v>172</v>
      </c>
      <c r="H83" t="s">
        <v>53</v>
      </c>
      <c r="I83">
        <v>21</v>
      </c>
      <c r="J83" t="s">
        <v>172</v>
      </c>
      <c r="K83">
        <v>60</v>
      </c>
      <c r="L83" t="s">
        <v>22</v>
      </c>
    </row>
    <row r="84" spans="1:12" x14ac:dyDescent="0.25">
      <c r="A84" t="s">
        <v>79</v>
      </c>
      <c r="B84">
        <v>6</v>
      </c>
      <c r="C84" t="s">
        <v>434</v>
      </c>
      <c r="D84">
        <v>30</v>
      </c>
      <c r="E84" t="s">
        <v>21</v>
      </c>
      <c r="G84" t="s">
        <v>173</v>
      </c>
      <c r="H84" t="s">
        <v>53</v>
      </c>
      <c r="I84">
        <v>22</v>
      </c>
      <c r="J84" t="s">
        <v>173</v>
      </c>
      <c r="K84">
        <v>60</v>
      </c>
      <c r="L84" t="s">
        <v>22</v>
      </c>
    </row>
    <row r="85" spans="1:12" x14ac:dyDescent="0.25">
      <c r="A85" t="s">
        <v>82</v>
      </c>
      <c r="B85">
        <v>1</v>
      </c>
      <c r="C85" t="s">
        <v>453</v>
      </c>
      <c r="D85">
        <v>30</v>
      </c>
      <c r="E85" t="s">
        <v>21</v>
      </c>
      <c r="G85" t="s">
        <v>174</v>
      </c>
      <c r="H85" t="s">
        <v>53</v>
      </c>
      <c r="I85">
        <v>23</v>
      </c>
      <c r="J85" t="s">
        <v>174</v>
      </c>
      <c r="K85">
        <v>60</v>
      </c>
      <c r="L85" t="s">
        <v>22</v>
      </c>
    </row>
    <row r="86" spans="1:12" x14ac:dyDescent="0.25">
      <c r="A86" t="s">
        <v>82</v>
      </c>
      <c r="B86">
        <v>2</v>
      </c>
      <c r="C86" t="s">
        <v>454</v>
      </c>
      <c r="D86">
        <v>30</v>
      </c>
      <c r="E86" t="s">
        <v>22</v>
      </c>
      <c r="G86" t="s">
        <v>175</v>
      </c>
      <c r="H86" t="s">
        <v>53</v>
      </c>
      <c r="I86">
        <v>24</v>
      </c>
      <c r="J86" t="s">
        <v>175</v>
      </c>
      <c r="K86">
        <v>60</v>
      </c>
      <c r="L86" t="s">
        <v>22</v>
      </c>
    </row>
    <row r="87" spans="1:12" x14ac:dyDescent="0.25">
      <c r="A87" t="s">
        <v>82</v>
      </c>
      <c r="B87">
        <v>7</v>
      </c>
      <c r="C87" t="s">
        <v>458</v>
      </c>
      <c r="D87">
        <v>30</v>
      </c>
      <c r="E87" t="s">
        <v>21</v>
      </c>
      <c r="G87" t="s">
        <v>176</v>
      </c>
      <c r="H87" t="s">
        <v>53</v>
      </c>
      <c r="I87">
        <v>25</v>
      </c>
      <c r="J87" t="s">
        <v>176</v>
      </c>
      <c r="K87">
        <v>60</v>
      </c>
      <c r="L87" t="s">
        <v>22</v>
      </c>
    </row>
    <row r="88" spans="1:12" x14ac:dyDescent="0.25">
      <c r="A88" t="s">
        <v>87</v>
      </c>
      <c r="B88">
        <v>1</v>
      </c>
      <c r="C88" t="s">
        <v>482</v>
      </c>
      <c r="D88">
        <v>30</v>
      </c>
      <c r="E88" t="s">
        <v>21</v>
      </c>
      <c r="G88" t="s">
        <v>177</v>
      </c>
      <c r="H88" t="s">
        <v>53</v>
      </c>
      <c r="I88">
        <v>26</v>
      </c>
      <c r="J88" t="s">
        <v>177</v>
      </c>
      <c r="K88">
        <v>60</v>
      </c>
      <c r="L88" t="s">
        <v>22</v>
      </c>
    </row>
    <row r="89" spans="1:12" x14ac:dyDescent="0.25">
      <c r="A89" t="s">
        <v>87</v>
      </c>
      <c r="B89">
        <v>2</v>
      </c>
      <c r="C89" t="s">
        <v>483</v>
      </c>
      <c r="D89">
        <v>30</v>
      </c>
      <c r="E89" t="s">
        <v>22</v>
      </c>
      <c r="G89" t="s">
        <v>178</v>
      </c>
      <c r="H89" t="s">
        <v>53</v>
      </c>
      <c r="I89">
        <v>27</v>
      </c>
      <c r="J89" t="s">
        <v>178</v>
      </c>
      <c r="K89">
        <v>60</v>
      </c>
      <c r="L89" t="s">
        <v>22</v>
      </c>
    </row>
    <row r="90" spans="1:12" x14ac:dyDescent="0.25">
      <c r="A90" t="s">
        <v>87</v>
      </c>
      <c r="B90">
        <v>4</v>
      </c>
      <c r="C90" t="s">
        <v>485</v>
      </c>
      <c r="D90">
        <v>30</v>
      </c>
      <c r="E90" t="s">
        <v>22</v>
      </c>
      <c r="G90" t="s">
        <v>179</v>
      </c>
      <c r="H90" t="s">
        <v>53</v>
      </c>
      <c r="I90">
        <v>28</v>
      </c>
      <c r="J90" t="s">
        <v>179</v>
      </c>
      <c r="K90">
        <v>60</v>
      </c>
      <c r="L90" t="s">
        <v>22</v>
      </c>
    </row>
    <row r="91" spans="1:12" x14ac:dyDescent="0.25">
      <c r="A91" t="s">
        <v>87</v>
      </c>
      <c r="B91">
        <v>7</v>
      </c>
      <c r="C91" t="s">
        <v>487</v>
      </c>
      <c r="D91">
        <v>30</v>
      </c>
      <c r="E91" t="s">
        <v>21</v>
      </c>
      <c r="G91" t="s">
        <v>180</v>
      </c>
      <c r="H91" t="s">
        <v>53</v>
      </c>
      <c r="I91">
        <v>29</v>
      </c>
      <c r="J91" t="s">
        <v>180</v>
      </c>
      <c r="K91">
        <v>60</v>
      </c>
      <c r="L91" t="s">
        <v>22</v>
      </c>
    </row>
    <row r="92" spans="1:12" x14ac:dyDescent="0.25">
      <c r="A92" t="s">
        <v>568</v>
      </c>
      <c r="B92">
        <v>1</v>
      </c>
      <c r="C92" t="s">
        <v>567</v>
      </c>
      <c r="D92">
        <v>30</v>
      </c>
      <c r="E92" t="s">
        <v>21</v>
      </c>
      <c r="G92" t="s">
        <v>181</v>
      </c>
      <c r="H92" t="s">
        <v>53</v>
      </c>
      <c r="I92">
        <v>30</v>
      </c>
      <c r="J92" t="s">
        <v>181</v>
      </c>
      <c r="K92">
        <v>30</v>
      </c>
      <c r="L92" t="s">
        <v>22</v>
      </c>
    </row>
    <row r="93" spans="1:12" x14ac:dyDescent="0.25">
      <c r="A93" t="s">
        <v>568</v>
      </c>
      <c r="B93">
        <v>2</v>
      </c>
      <c r="C93" t="s">
        <v>569</v>
      </c>
      <c r="D93">
        <v>30</v>
      </c>
      <c r="E93" t="s">
        <v>22</v>
      </c>
      <c r="G93" t="s">
        <v>182</v>
      </c>
      <c r="H93" t="s">
        <v>53</v>
      </c>
      <c r="I93">
        <v>31</v>
      </c>
      <c r="J93" t="s">
        <v>182</v>
      </c>
      <c r="K93">
        <v>30</v>
      </c>
      <c r="L93" t="s">
        <v>22</v>
      </c>
    </row>
    <row r="94" spans="1:12" x14ac:dyDescent="0.25">
      <c r="A94" t="s">
        <v>568</v>
      </c>
      <c r="B94">
        <v>3</v>
      </c>
      <c r="C94" t="s">
        <v>570</v>
      </c>
      <c r="D94">
        <v>60</v>
      </c>
      <c r="E94" t="s">
        <v>22</v>
      </c>
      <c r="G94" t="s">
        <v>183</v>
      </c>
      <c r="H94" t="s">
        <v>53</v>
      </c>
      <c r="I94">
        <v>32</v>
      </c>
      <c r="J94" t="s">
        <v>183</v>
      </c>
      <c r="K94">
        <v>30</v>
      </c>
      <c r="L94" t="s">
        <v>22</v>
      </c>
    </row>
    <row r="95" spans="1:12" x14ac:dyDescent="0.25">
      <c r="A95" t="s">
        <v>568</v>
      </c>
      <c r="B95">
        <v>4</v>
      </c>
      <c r="C95" t="s">
        <v>571</v>
      </c>
      <c r="D95">
        <v>30</v>
      </c>
      <c r="E95" t="s">
        <v>21</v>
      </c>
      <c r="G95" t="s">
        <v>187</v>
      </c>
      <c r="H95" t="s">
        <v>58</v>
      </c>
      <c r="I95">
        <v>4</v>
      </c>
      <c r="J95" t="s">
        <v>187</v>
      </c>
      <c r="K95">
        <v>30</v>
      </c>
      <c r="L95" t="s">
        <v>22</v>
      </c>
    </row>
    <row r="96" spans="1:12" x14ac:dyDescent="0.25">
      <c r="G96" t="s">
        <v>190</v>
      </c>
      <c r="H96" t="s">
        <v>58</v>
      </c>
      <c r="I96">
        <v>5</v>
      </c>
      <c r="J96" t="s">
        <v>190</v>
      </c>
      <c r="K96">
        <v>30</v>
      </c>
      <c r="L96" t="s">
        <v>22</v>
      </c>
    </row>
    <row r="97" spans="7:12" x14ac:dyDescent="0.25">
      <c r="G97" t="s">
        <v>191</v>
      </c>
      <c r="H97" t="s">
        <v>58</v>
      </c>
      <c r="I97">
        <v>6</v>
      </c>
      <c r="J97" t="s">
        <v>191</v>
      </c>
      <c r="K97">
        <v>30</v>
      </c>
      <c r="L97" t="s">
        <v>22</v>
      </c>
    </row>
    <row r="98" spans="7:12" x14ac:dyDescent="0.25">
      <c r="G98" t="s">
        <v>192</v>
      </c>
      <c r="H98" t="s">
        <v>58</v>
      </c>
      <c r="I98">
        <v>7</v>
      </c>
      <c r="J98" t="s">
        <v>192</v>
      </c>
      <c r="K98">
        <v>30</v>
      </c>
      <c r="L98" t="s">
        <v>22</v>
      </c>
    </row>
    <row r="99" spans="7:12" x14ac:dyDescent="0.25">
      <c r="G99" t="s">
        <v>193</v>
      </c>
      <c r="H99" t="s">
        <v>58</v>
      </c>
      <c r="I99">
        <v>8</v>
      </c>
      <c r="J99" t="s">
        <v>193</v>
      </c>
      <c r="K99">
        <v>30</v>
      </c>
      <c r="L99" t="s">
        <v>22</v>
      </c>
    </row>
    <row r="100" spans="7:12" x14ac:dyDescent="0.25">
      <c r="G100" t="s">
        <v>194</v>
      </c>
      <c r="H100" t="s">
        <v>58</v>
      </c>
      <c r="I100">
        <v>9</v>
      </c>
      <c r="J100" t="s">
        <v>194</v>
      </c>
      <c r="K100">
        <v>30</v>
      </c>
      <c r="L100" t="s">
        <v>22</v>
      </c>
    </row>
    <row r="101" spans="7:12" x14ac:dyDescent="0.25">
      <c r="G101" t="s">
        <v>195</v>
      </c>
      <c r="H101" t="s">
        <v>58</v>
      </c>
      <c r="I101">
        <v>10</v>
      </c>
      <c r="J101" t="s">
        <v>195</v>
      </c>
      <c r="K101">
        <v>30</v>
      </c>
      <c r="L101" t="s">
        <v>22</v>
      </c>
    </row>
    <row r="102" spans="7:12" x14ac:dyDescent="0.25">
      <c r="G102" t="s">
        <v>188</v>
      </c>
      <c r="H102" t="s">
        <v>58</v>
      </c>
      <c r="I102">
        <v>12</v>
      </c>
      <c r="J102" t="s">
        <v>188</v>
      </c>
      <c r="K102">
        <v>30</v>
      </c>
      <c r="L102" t="s">
        <v>22</v>
      </c>
    </row>
    <row r="103" spans="7:12" x14ac:dyDescent="0.25">
      <c r="G103" t="s">
        <v>196</v>
      </c>
      <c r="H103" t="s">
        <v>58</v>
      </c>
      <c r="I103">
        <v>13</v>
      </c>
      <c r="J103" t="s">
        <v>196</v>
      </c>
      <c r="K103">
        <v>30</v>
      </c>
      <c r="L103" t="s">
        <v>22</v>
      </c>
    </row>
    <row r="104" spans="7:12" x14ac:dyDescent="0.25">
      <c r="G104" t="s">
        <v>197</v>
      </c>
      <c r="H104" t="s">
        <v>58</v>
      </c>
      <c r="I104">
        <v>14</v>
      </c>
      <c r="J104" t="s">
        <v>197</v>
      </c>
      <c r="K104">
        <v>30</v>
      </c>
      <c r="L104" t="s">
        <v>22</v>
      </c>
    </row>
    <row r="105" spans="7:12" x14ac:dyDescent="0.25">
      <c r="G105" t="s">
        <v>198</v>
      </c>
      <c r="H105" t="s">
        <v>58</v>
      </c>
      <c r="I105">
        <v>15</v>
      </c>
      <c r="J105" t="s">
        <v>198</v>
      </c>
      <c r="K105">
        <v>30</v>
      </c>
      <c r="L105" t="s">
        <v>22</v>
      </c>
    </row>
    <row r="106" spans="7:12" x14ac:dyDescent="0.25">
      <c r="G106" t="s">
        <v>204</v>
      </c>
      <c r="H106" t="s">
        <v>58</v>
      </c>
      <c r="I106">
        <v>22</v>
      </c>
      <c r="J106" t="s">
        <v>204</v>
      </c>
      <c r="K106">
        <v>60</v>
      </c>
      <c r="L106" t="s">
        <v>22</v>
      </c>
    </row>
    <row r="107" spans="7:12" x14ac:dyDescent="0.25">
      <c r="G107" t="s">
        <v>205</v>
      </c>
      <c r="H107" t="s">
        <v>58</v>
      </c>
      <c r="I107">
        <v>23</v>
      </c>
      <c r="J107" t="s">
        <v>205</v>
      </c>
      <c r="K107">
        <v>60</v>
      </c>
      <c r="L107" t="s">
        <v>22</v>
      </c>
    </row>
    <row r="108" spans="7:12" x14ac:dyDescent="0.25">
      <c r="G108" t="s">
        <v>206</v>
      </c>
      <c r="H108" t="s">
        <v>58</v>
      </c>
      <c r="I108">
        <v>24</v>
      </c>
      <c r="J108" t="s">
        <v>206</v>
      </c>
      <c r="K108">
        <v>60</v>
      </c>
      <c r="L108" t="s">
        <v>22</v>
      </c>
    </row>
    <row r="109" spans="7:12" x14ac:dyDescent="0.25">
      <c r="G109" t="s">
        <v>207</v>
      </c>
      <c r="H109" t="s">
        <v>58</v>
      </c>
      <c r="I109">
        <v>25</v>
      </c>
      <c r="J109" t="s">
        <v>207</v>
      </c>
      <c r="K109">
        <v>60</v>
      </c>
      <c r="L109" t="s">
        <v>22</v>
      </c>
    </row>
    <row r="110" spans="7:12" x14ac:dyDescent="0.25">
      <c r="G110" t="s">
        <v>208</v>
      </c>
      <c r="H110" t="s">
        <v>58</v>
      </c>
      <c r="I110">
        <v>26</v>
      </c>
      <c r="J110" t="s">
        <v>208</v>
      </c>
      <c r="K110">
        <v>60</v>
      </c>
      <c r="L110" t="s">
        <v>22</v>
      </c>
    </row>
    <row r="111" spans="7:12" x14ac:dyDescent="0.25">
      <c r="G111" t="s">
        <v>217</v>
      </c>
      <c r="H111" t="s">
        <v>59</v>
      </c>
      <c r="I111">
        <v>3</v>
      </c>
      <c r="J111" t="s">
        <v>217</v>
      </c>
      <c r="K111">
        <v>30</v>
      </c>
      <c r="L111" t="s">
        <v>22</v>
      </c>
    </row>
    <row r="112" spans="7:12" x14ac:dyDescent="0.25">
      <c r="G112" t="s">
        <v>218</v>
      </c>
      <c r="H112" t="s">
        <v>59</v>
      </c>
      <c r="I112">
        <v>4</v>
      </c>
      <c r="J112" t="s">
        <v>218</v>
      </c>
      <c r="K112">
        <v>30</v>
      </c>
      <c r="L112" t="s">
        <v>22</v>
      </c>
    </row>
    <row r="113" spans="7:12" x14ac:dyDescent="0.25">
      <c r="G113" t="s">
        <v>219</v>
      </c>
      <c r="H113" t="s">
        <v>59</v>
      </c>
      <c r="I113">
        <v>5</v>
      </c>
      <c r="J113" t="s">
        <v>219</v>
      </c>
      <c r="K113">
        <v>30</v>
      </c>
      <c r="L113" t="s">
        <v>22</v>
      </c>
    </row>
    <row r="114" spans="7:12" x14ac:dyDescent="0.25">
      <c r="G114" t="s">
        <v>220</v>
      </c>
      <c r="H114" t="s">
        <v>59</v>
      </c>
      <c r="I114">
        <v>6</v>
      </c>
      <c r="J114" t="s">
        <v>220</v>
      </c>
      <c r="K114">
        <v>30</v>
      </c>
      <c r="L114" t="s">
        <v>22</v>
      </c>
    </row>
    <row r="115" spans="7:12" x14ac:dyDescent="0.25">
      <c r="G115" t="s">
        <v>221</v>
      </c>
      <c r="H115" t="s">
        <v>59</v>
      </c>
      <c r="I115">
        <v>7</v>
      </c>
      <c r="J115" t="s">
        <v>221</v>
      </c>
      <c r="K115">
        <v>30</v>
      </c>
      <c r="L115" t="s">
        <v>22</v>
      </c>
    </row>
    <row r="116" spans="7:12" x14ac:dyDescent="0.25">
      <c r="G116" t="s">
        <v>236</v>
      </c>
      <c r="H116" t="s">
        <v>60</v>
      </c>
      <c r="I116">
        <v>3</v>
      </c>
      <c r="J116" t="s">
        <v>236</v>
      </c>
      <c r="K116">
        <v>30</v>
      </c>
      <c r="L116" t="s">
        <v>22</v>
      </c>
    </row>
    <row r="117" spans="7:12" x14ac:dyDescent="0.25">
      <c r="G117" t="s">
        <v>66</v>
      </c>
      <c r="H117" t="s">
        <v>60</v>
      </c>
      <c r="I117">
        <v>4</v>
      </c>
      <c r="J117" t="s">
        <v>66</v>
      </c>
      <c r="K117">
        <v>30</v>
      </c>
      <c r="L117" t="s">
        <v>22</v>
      </c>
    </row>
    <row r="118" spans="7:12" x14ac:dyDescent="0.25">
      <c r="G118" t="s">
        <v>237</v>
      </c>
      <c r="H118" t="s">
        <v>60</v>
      </c>
      <c r="I118">
        <v>5</v>
      </c>
      <c r="J118" t="s">
        <v>237</v>
      </c>
      <c r="K118">
        <v>30</v>
      </c>
      <c r="L118" t="s">
        <v>22</v>
      </c>
    </row>
    <row r="119" spans="7:12" x14ac:dyDescent="0.25">
      <c r="G119" t="s">
        <v>247</v>
      </c>
      <c r="H119" t="s">
        <v>60</v>
      </c>
      <c r="I119">
        <v>6</v>
      </c>
      <c r="J119" t="s">
        <v>247</v>
      </c>
      <c r="K119">
        <v>30</v>
      </c>
      <c r="L119" t="s">
        <v>22</v>
      </c>
    </row>
    <row r="120" spans="7:12" x14ac:dyDescent="0.25">
      <c r="G120" t="s">
        <v>241</v>
      </c>
      <c r="H120" t="s">
        <v>60</v>
      </c>
      <c r="I120">
        <v>7</v>
      </c>
      <c r="J120" t="s">
        <v>241</v>
      </c>
      <c r="K120">
        <v>60</v>
      </c>
      <c r="L120" t="s">
        <v>22</v>
      </c>
    </row>
    <row r="121" spans="7:12" x14ac:dyDescent="0.25">
      <c r="G121" t="s">
        <v>242</v>
      </c>
      <c r="H121" t="s">
        <v>60</v>
      </c>
      <c r="I121">
        <v>8</v>
      </c>
      <c r="J121" t="s">
        <v>242</v>
      </c>
      <c r="K121">
        <v>60</v>
      </c>
      <c r="L121" t="s">
        <v>22</v>
      </c>
    </row>
    <row r="122" spans="7:12" x14ac:dyDescent="0.25">
      <c r="G122" t="s">
        <v>248</v>
      </c>
      <c r="H122" t="s">
        <v>60</v>
      </c>
      <c r="I122">
        <v>11</v>
      </c>
      <c r="J122" t="s">
        <v>248</v>
      </c>
      <c r="K122">
        <v>30</v>
      </c>
      <c r="L122" t="s">
        <v>22</v>
      </c>
    </row>
    <row r="123" spans="7:12" x14ac:dyDescent="0.25">
      <c r="G123" t="s">
        <v>243</v>
      </c>
      <c r="H123" t="s">
        <v>60</v>
      </c>
      <c r="I123">
        <v>12</v>
      </c>
      <c r="J123" t="s">
        <v>243</v>
      </c>
      <c r="K123">
        <v>60</v>
      </c>
      <c r="L123" t="s">
        <v>22</v>
      </c>
    </row>
    <row r="124" spans="7:12" x14ac:dyDescent="0.25">
      <c r="G124" t="s">
        <v>249</v>
      </c>
      <c r="H124" t="s">
        <v>60</v>
      </c>
      <c r="I124">
        <v>13</v>
      </c>
      <c r="J124" t="s">
        <v>249</v>
      </c>
      <c r="K124">
        <v>30</v>
      </c>
      <c r="L124" t="s">
        <v>22</v>
      </c>
    </row>
    <row r="125" spans="7:12" x14ac:dyDescent="0.25">
      <c r="G125" t="s">
        <v>250</v>
      </c>
      <c r="H125" t="s">
        <v>60</v>
      </c>
      <c r="I125">
        <v>14</v>
      </c>
      <c r="J125" t="s">
        <v>250</v>
      </c>
      <c r="K125">
        <v>30</v>
      </c>
      <c r="L125" t="s">
        <v>22</v>
      </c>
    </row>
    <row r="126" spans="7:12" x14ac:dyDescent="0.25">
      <c r="G126" t="s">
        <v>294</v>
      </c>
      <c r="H126" t="s">
        <v>64</v>
      </c>
      <c r="I126">
        <v>4</v>
      </c>
      <c r="J126" t="s">
        <v>294</v>
      </c>
      <c r="K126">
        <v>30</v>
      </c>
      <c r="L126" t="s">
        <v>22</v>
      </c>
    </row>
    <row r="127" spans="7:12" x14ac:dyDescent="0.25">
      <c r="G127" t="s">
        <v>295</v>
      </c>
      <c r="H127" t="s">
        <v>64</v>
      </c>
      <c r="I127">
        <v>5</v>
      </c>
      <c r="J127" t="s">
        <v>295</v>
      </c>
      <c r="K127">
        <v>30</v>
      </c>
      <c r="L127" t="s">
        <v>22</v>
      </c>
    </row>
    <row r="128" spans="7:12" x14ac:dyDescent="0.25">
      <c r="G128" t="s">
        <v>296</v>
      </c>
      <c r="H128" t="s">
        <v>64</v>
      </c>
      <c r="I128">
        <v>6</v>
      </c>
      <c r="J128" t="s">
        <v>296</v>
      </c>
      <c r="K128">
        <v>30</v>
      </c>
      <c r="L128" t="s">
        <v>22</v>
      </c>
    </row>
    <row r="129" spans="7:12" x14ac:dyDescent="0.25">
      <c r="G129" t="s">
        <v>282</v>
      </c>
      <c r="H129" t="s">
        <v>64</v>
      </c>
      <c r="I129">
        <v>7</v>
      </c>
      <c r="J129" t="s">
        <v>282</v>
      </c>
      <c r="K129">
        <v>30</v>
      </c>
      <c r="L129" t="s">
        <v>22</v>
      </c>
    </row>
    <row r="130" spans="7:12" x14ac:dyDescent="0.25">
      <c r="G130" t="s">
        <v>283</v>
      </c>
      <c r="H130" t="s">
        <v>64</v>
      </c>
      <c r="I130">
        <v>8</v>
      </c>
      <c r="J130" t="s">
        <v>283</v>
      </c>
      <c r="K130">
        <v>30</v>
      </c>
      <c r="L130" t="s">
        <v>22</v>
      </c>
    </row>
    <row r="131" spans="7:12" x14ac:dyDescent="0.25">
      <c r="G131" t="s">
        <v>286</v>
      </c>
      <c r="H131" t="s">
        <v>64</v>
      </c>
      <c r="I131">
        <v>10</v>
      </c>
      <c r="J131" t="s">
        <v>286</v>
      </c>
      <c r="K131">
        <v>60</v>
      </c>
      <c r="L131" t="s">
        <v>22</v>
      </c>
    </row>
    <row r="132" spans="7:12" x14ac:dyDescent="0.25">
      <c r="G132" t="s">
        <v>297</v>
      </c>
      <c r="H132" t="s">
        <v>64</v>
      </c>
      <c r="I132">
        <v>11</v>
      </c>
      <c r="J132" t="s">
        <v>297</v>
      </c>
      <c r="K132">
        <v>30</v>
      </c>
      <c r="L132" t="s">
        <v>22</v>
      </c>
    </row>
    <row r="133" spans="7:12" x14ac:dyDescent="0.25">
      <c r="G133" t="s">
        <v>287</v>
      </c>
      <c r="H133" t="s">
        <v>64</v>
      </c>
      <c r="I133">
        <v>12</v>
      </c>
      <c r="J133" t="s">
        <v>287</v>
      </c>
      <c r="K133">
        <v>60</v>
      </c>
      <c r="L133" t="s">
        <v>22</v>
      </c>
    </row>
    <row r="134" spans="7:12" x14ac:dyDescent="0.25">
      <c r="G134" t="s">
        <v>310</v>
      </c>
      <c r="H134" t="s">
        <v>69</v>
      </c>
      <c r="I134">
        <v>4</v>
      </c>
      <c r="J134" t="s">
        <v>310</v>
      </c>
      <c r="K134">
        <v>30</v>
      </c>
      <c r="L134" t="s">
        <v>22</v>
      </c>
    </row>
    <row r="135" spans="7:12" x14ac:dyDescent="0.25">
      <c r="G135" t="s">
        <v>311</v>
      </c>
      <c r="H135" t="s">
        <v>69</v>
      </c>
      <c r="I135">
        <v>5</v>
      </c>
      <c r="J135" t="s">
        <v>311</v>
      </c>
      <c r="K135">
        <v>30</v>
      </c>
      <c r="L135" t="s">
        <v>22</v>
      </c>
    </row>
    <row r="136" spans="7:12" x14ac:dyDescent="0.25">
      <c r="G136" t="s">
        <v>312</v>
      </c>
      <c r="H136" t="s">
        <v>69</v>
      </c>
      <c r="I136">
        <v>6</v>
      </c>
      <c r="J136" t="s">
        <v>312</v>
      </c>
      <c r="K136">
        <v>30</v>
      </c>
      <c r="L136" t="s">
        <v>22</v>
      </c>
    </row>
    <row r="137" spans="7:12" x14ac:dyDescent="0.25">
      <c r="G137" t="s">
        <v>313</v>
      </c>
      <c r="H137" t="s">
        <v>69</v>
      </c>
      <c r="I137">
        <v>7</v>
      </c>
      <c r="J137" t="s">
        <v>313</v>
      </c>
      <c r="K137">
        <v>30</v>
      </c>
      <c r="L137" t="s">
        <v>22</v>
      </c>
    </row>
    <row r="138" spans="7:12" x14ac:dyDescent="0.25">
      <c r="G138" t="s">
        <v>314</v>
      </c>
      <c r="H138" t="s">
        <v>69</v>
      </c>
      <c r="I138">
        <v>8</v>
      </c>
      <c r="J138" t="s">
        <v>314</v>
      </c>
      <c r="K138">
        <v>30</v>
      </c>
      <c r="L138" t="s">
        <v>22</v>
      </c>
    </row>
    <row r="139" spans="7:12" x14ac:dyDescent="0.25">
      <c r="G139" t="s">
        <v>315</v>
      </c>
      <c r="H139" t="s">
        <v>69</v>
      </c>
      <c r="I139">
        <v>10</v>
      </c>
      <c r="J139" t="s">
        <v>315</v>
      </c>
      <c r="K139">
        <v>30</v>
      </c>
      <c r="L139" t="s">
        <v>22</v>
      </c>
    </row>
    <row r="140" spans="7:12" x14ac:dyDescent="0.25">
      <c r="G140" t="s">
        <v>316</v>
      </c>
      <c r="H140" t="s">
        <v>69</v>
      </c>
      <c r="I140">
        <v>11</v>
      </c>
      <c r="J140" t="s">
        <v>316</v>
      </c>
      <c r="K140">
        <v>30</v>
      </c>
      <c r="L140" t="s">
        <v>22</v>
      </c>
    </row>
    <row r="141" spans="7:12" x14ac:dyDescent="0.25">
      <c r="G141" t="s">
        <v>317</v>
      </c>
      <c r="H141" t="s">
        <v>69</v>
      </c>
      <c r="I141">
        <v>12</v>
      </c>
      <c r="J141" t="s">
        <v>317</v>
      </c>
      <c r="K141">
        <v>60</v>
      </c>
      <c r="L141" t="s">
        <v>22</v>
      </c>
    </row>
    <row r="142" spans="7:12" x14ac:dyDescent="0.25">
      <c r="G142" t="s">
        <v>318</v>
      </c>
      <c r="H142" t="s">
        <v>69</v>
      </c>
      <c r="I142">
        <v>13</v>
      </c>
      <c r="J142" t="s">
        <v>318</v>
      </c>
      <c r="K142">
        <v>60</v>
      </c>
      <c r="L142" t="s">
        <v>22</v>
      </c>
    </row>
    <row r="143" spans="7:12" x14ac:dyDescent="0.25">
      <c r="G143" t="s">
        <v>308</v>
      </c>
      <c r="H143" t="s">
        <v>69</v>
      </c>
      <c r="I143">
        <v>14</v>
      </c>
      <c r="J143" t="s">
        <v>308</v>
      </c>
      <c r="K143">
        <v>60</v>
      </c>
      <c r="L143" t="s">
        <v>22</v>
      </c>
    </row>
    <row r="144" spans="7:12" x14ac:dyDescent="0.25">
      <c r="G144" t="s">
        <v>319</v>
      </c>
      <c r="H144" t="s">
        <v>69</v>
      </c>
      <c r="I144">
        <v>15</v>
      </c>
      <c r="J144" t="s">
        <v>319</v>
      </c>
      <c r="K144">
        <v>60</v>
      </c>
      <c r="L144" t="s">
        <v>22</v>
      </c>
    </row>
    <row r="145" spans="7:12" x14ac:dyDescent="0.25">
      <c r="G145" t="s">
        <v>320</v>
      </c>
      <c r="H145" t="s">
        <v>69</v>
      </c>
      <c r="I145">
        <v>16</v>
      </c>
      <c r="J145" t="s">
        <v>320</v>
      </c>
      <c r="K145">
        <v>60</v>
      </c>
      <c r="L145" t="s">
        <v>22</v>
      </c>
    </row>
    <row r="146" spans="7:12" x14ac:dyDescent="0.25">
      <c r="G146" t="s">
        <v>321</v>
      </c>
      <c r="H146" t="s">
        <v>69</v>
      </c>
      <c r="I146">
        <v>17</v>
      </c>
      <c r="J146" t="s">
        <v>321</v>
      </c>
      <c r="K146">
        <v>30</v>
      </c>
      <c r="L146" t="s">
        <v>22</v>
      </c>
    </row>
    <row r="147" spans="7:12" x14ac:dyDescent="0.25">
      <c r="G147" t="s">
        <v>309</v>
      </c>
      <c r="H147" t="s">
        <v>69</v>
      </c>
      <c r="I147">
        <v>18</v>
      </c>
      <c r="J147" t="s">
        <v>309</v>
      </c>
      <c r="K147">
        <v>30</v>
      </c>
      <c r="L147" t="s">
        <v>22</v>
      </c>
    </row>
    <row r="148" spans="7:12" x14ac:dyDescent="0.25">
      <c r="G148" t="s">
        <v>323</v>
      </c>
      <c r="H148" t="s">
        <v>69</v>
      </c>
      <c r="I148">
        <v>20</v>
      </c>
      <c r="J148" t="s">
        <v>323</v>
      </c>
      <c r="K148">
        <v>60</v>
      </c>
      <c r="L148" t="s">
        <v>22</v>
      </c>
    </row>
    <row r="149" spans="7:12" x14ac:dyDescent="0.25">
      <c r="G149" t="s">
        <v>326</v>
      </c>
      <c r="H149" t="s">
        <v>69</v>
      </c>
      <c r="I149">
        <v>23</v>
      </c>
      <c r="J149" t="s">
        <v>326</v>
      </c>
      <c r="K149">
        <v>30</v>
      </c>
      <c r="L149" t="s">
        <v>22</v>
      </c>
    </row>
    <row r="150" spans="7:12" x14ac:dyDescent="0.25">
      <c r="G150" t="s">
        <v>344</v>
      </c>
      <c r="H150" t="s">
        <v>70</v>
      </c>
      <c r="I150">
        <v>4</v>
      </c>
      <c r="J150" t="s">
        <v>344</v>
      </c>
      <c r="K150">
        <v>30</v>
      </c>
      <c r="L150" t="s">
        <v>22</v>
      </c>
    </row>
    <row r="151" spans="7:12" x14ac:dyDescent="0.25">
      <c r="G151" t="s">
        <v>345</v>
      </c>
      <c r="H151" t="s">
        <v>70</v>
      </c>
      <c r="I151">
        <v>5</v>
      </c>
      <c r="J151" t="s">
        <v>345</v>
      </c>
      <c r="K151">
        <v>30</v>
      </c>
      <c r="L151" t="s">
        <v>22</v>
      </c>
    </row>
    <row r="152" spans="7:12" x14ac:dyDescent="0.25">
      <c r="G152" t="s">
        <v>346</v>
      </c>
      <c r="H152" t="s">
        <v>70</v>
      </c>
      <c r="I152">
        <v>6</v>
      </c>
      <c r="J152" t="s">
        <v>346</v>
      </c>
      <c r="K152">
        <v>30</v>
      </c>
      <c r="L152" t="s">
        <v>22</v>
      </c>
    </row>
    <row r="153" spans="7:12" x14ac:dyDescent="0.25">
      <c r="G153" t="s">
        <v>347</v>
      </c>
      <c r="H153" t="s">
        <v>70</v>
      </c>
      <c r="I153">
        <v>7</v>
      </c>
      <c r="J153" t="s">
        <v>347</v>
      </c>
      <c r="K153">
        <v>30</v>
      </c>
      <c r="L153" t="s">
        <v>22</v>
      </c>
    </row>
    <row r="154" spans="7:12" x14ac:dyDescent="0.25">
      <c r="G154" t="s">
        <v>348</v>
      </c>
      <c r="H154" t="s">
        <v>70</v>
      </c>
      <c r="I154">
        <v>8</v>
      </c>
      <c r="J154" t="s">
        <v>348</v>
      </c>
      <c r="K154">
        <v>30</v>
      </c>
      <c r="L154" t="s">
        <v>22</v>
      </c>
    </row>
    <row r="155" spans="7:12" x14ac:dyDescent="0.25">
      <c r="G155" t="s">
        <v>349</v>
      </c>
      <c r="H155" t="s">
        <v>70</v>
      </c>
      <c r="I155">
        <v>9</v>
      </c>
      <c r="J155" t="s">
        <v>349</v>
      </c>
      <c r="K155">
        <v>30</v>
      </c>
      <c r="L155" t="s">
        <v>22</v>
      </c>
    </row>
    <row r="156" spans="7:12" x14ac:dyDescent="0.25">
      <c r="G156" t="s">
        <v>333</v>
      </c>
      <c r="H156" t="s">
        <v>70</v>
      </c>
      <c r="I156">
        <v>10</v>
      </c>
      <c r="J156" t="s">
        <v>333</v>
      </c>
      <c r="K156">
        <v>60</v>
      </c>
      <c r="L156" t="s">
        <v>22</v>
      </c>
    </row>
    <row r="157" spans="7:12" x14ac:dyDescent="0.25">
      <c r="G157" t="s">
        <v>334</v>
      </c>
      <c r="H157" t="s">
        <v>70</v>
      </c>
      <c r="I157">
        <v>11</v>
      </c>
      <c r="J157" t="s">
        <v>334</v>
      </c>
      <c r="K157">
        <v>60</v>
      </c>
      <c r="L157" t="s">
        <v>22</v>
      </c>
    </row>
    <row r="158" spans="7:12" x14ac:dyDescent="0.25">
      <c r="G158" t="s">
        <v>335</v>
      </c>
      <c r="H158" t="s">
        <v>70</v>
      </c>
      <c r="I158">
        <v>12</v>
      </c>
      <c r="J158" t="s">
        <v>335</v>
      </c>
      <c r="K158">
        <v>60</v>
      </c>
      <c r="L158" t="s">
        <v>22</v>
      </c>
    </row>
    <row r="159" spans="7:12" x14ac:dyDescent="0.25">
      <c r="G159" t="s">
        <v>336</v>
      </c>
      <c r="H159" t="s">
        <v>70</v>
      </c>
      <c r="I159">
        <v>13</v>
      </c>
      <c r="J159" t="s">
        <v>336</v>
      </c>
      <c r="K159">
        <v>60</v>
      </c>
      <c r="L159" t="s">
        <v>22</v>
      </c>
    </row>
    <row r="160" spans="7:12" x14ac:dyDescent="0.25">
      <c r="G160" t="s">
        <v>337</v>
      </c>
      <c r="H160" t="s">
        <v>70</v>
      </c>
      <c r="I160">
        <v>14</v>
      </c>
      <c r="J160" t="s">
        <v>337</v>
      </c>
      <c r="K160">
        <v>60</v>
      </c>
      <c r="L160" t="s">
        <v>22</v>
      </c>
    </row>
    <row r="161" spans="7:12" x14ac:dyDescent="0.25">
      <c r="G161" t="s">
        <v>338</v>
      </c>
      <c r="H161" t="s">
        <v>70</v>
      </c>
      <c r="I161">
        <v>15</v>
      </c>
      <c r="J161" t="s">
        <v>338</v>
      </c>
      <c r="K161">
        <v>60</v>
      </c>
      <c r="L161" t="s">
        <v>22</v>
      </c>
    </row>
    <row r="162" spans="7:12" x14ac:dyDescent="0.25">
      <c r="G162" t="s">
        <v>339</v>
      </c>
      <c r="H162" t="s">
        <v>70</v>
      </c>
      <c r="I162">
        <v>16</v>
      </c>
      <c r="J162" t="s">
        <v>339</v>
      </c>
      <c r="K162">
        <v>60</v>
      </c>
      <c r="L162" t="s">
        <v>22</v>
      </c>
    </row>
    <row r="163" spans="7:12" x14ac:dyDescent="0.25">
      <c r="G163" t="s">
        <v>330</v>
      </c>
      <c r="H163" t="s">
        <v>70</v>
      </c>
      <c r="I163">
        <v>17</v>
      </c>
      <c r="J163" t="s">
        <v>330</v>
      </c>
      <c r="K163">
        <v>60</v>
      </c>
      <c r="L163" t="s">
        <v>22</v>
      </c>
    </row>
    <row r="164" spans="7:12" x14ac:dyDescent="0.25">
      <c r="G164" t="s">
        <v>331</v>
      </c>
      <c r="H164" t="s">
        <v>70</v>
      </c>
      <c r="I164">
        <v>18</v>
      </c>
      <c r="J164" t="s">
        <v>331</v>
      </c>
      <c r="K164">
        <v>30</v>
      </c>
      <c r="L164" t="s">
        <v>22</v>
      </c>
    </row>
    <row r="165" spans="7:12" x14ac:dyDescent="0.25">
      <c r="G165" t="s">
        <v>332</v>
      </c>
      <c r="H165" t="s">
        <v>70</v>
      </c>
      <c r="I165">
        <v>19</v>
      </c>
      <c r="J165" t="s">
        <v>332</v>
      </c>
      <c r="K165">
        <v>60</v>
      </c>
      <c r="L165" t="s">
        <v>22</v>
      </c>
    </row>
    <row r="166" spans="7:12" x14ac:dyDescent="0.25">
      <c r="G166" t="s">
        <v>350</v>
      </c>
      <c r="H166" t="s">
        <v>70</v>
      </c>
      <c r="I166">
        <v>20</v>
      </c>
      <c r="J166" t="s">
        <v>350</v>
      </c>
      <c r="K166">
        <v>30</v>
      </c>
      <c r="L166" t="s">
        <v>22</v>
      </c>
    </row>
    <row r="167" spans="7:12" x14ac:dyDescent="0.25">
      <c r="G167" t="s">
        <v>340</v>
      </c>
      <c r="H167" t="s">
        <v>70</v>
      </c>
      <c r="I167">
        <v>21</v>
      </c>
      <c r="J167" t="s">
        <v>340</v>
      </c>
      <c r="K167">
        <v>60</v>
      </c>
      <c r="L167" t="s">
        <v>22</v>
      </c>
    </row>
    <row r="168" spans="7:12" x14ac:dyDescent="0.25">
      <c r="G168" t="s">
        <v>341</v>
      </c>
      <c r="H168" t="s">
        <v>70</v>
      </c>
      <c r="I168">
        <v>22</v>
      </c>
      <c r="J168" t="s">
        <v>341</v>
      </c>
      <c r="K168">
        <v>60</v>
      </c>
      <c r="L168" t="s">
        <v>22</v>
      </c>
    </row>
    <row r="169" spans="7:12" x14ac:dyDescent="0.25">
      <c r="G169" t="s">
        <v>342</v>
      </c>
      <c r="H169" t="s">
        <v>70</v>
      </c>
      <c r="I169">
        <v>23</v>
      </c>
      <c r="J169" t="s">
        <v>342</v>
      </c>
      <c r="K169">
        <v>60</v>
      </c>
      <c r="L169" t="s">
        <v>22</v>
      </c>
    </row>
    <row r="170" spans="7:12" x14ac:dyDescent="0.25">
      <c r="G170" t="s">
        <v>343</v>
      </c>
      <c r="H170" t="s">
        <v>70</v>
      </c>
      <c r="I170">
        <v>24</v>
      </c>
      <c r="J170" t="s">
        <v>343</v>
      </c>
      <c r="K170">
        <v>60</v>
      </c>
      <c r="L170" t="s">
        <v>22</v>
      </c>
    </row>
    <row r="171" spans="7:12" x14ac:dyDescent="0.25">
      <c r="G171" t="s">
        <v>351</v>
      </c>
      <c r="H171" t="s">
        <v>70</v>
      </c>
      <c r="I171">
        <v>25</v>
      </c>
      <c r="J171" t="s">
        <v>351</v>
      </c>
      <c r="K171">
        <v>30</v>
      </c>
      <c r="L171" t="s">
        <v>22</v>
      </c>
    </row>
    <row r="172" spans="7:12" x14ac:dyDescent="0.25">
      <c r="G172" t="s">
        <v>362</v>
      </c>
      <c r="H172" t="s">
        <v>73</v>
      </c>
      <c r="I172">
        <v>3</v>
      </c>
      <c r="J172" t="s">
        <v>362</v>
      </c>
      <c r="K172">
        <v>30</v>
      </c>
      <c r="L172" t="s">
        <v>22</v>
      </c>
    </row>
    <row r="173" spans="7:12" x14ac:dyDescent="0.25">
      <c r="G173" t="s">
        <v>363</v>
      </c>
      <c r="H173" t="s">
        <v>73</v>
      </c>
      <c r="I173">
        <v>4</v>
      </c>
      <c r="J173" t="s">
        <v>363</v>
      </c>
      <c r="K173">
        <v>30</v>
      </c>
      <c r="L173" t="s">
        <v>22</v>
      </c>
    </row>
    <row r="174" spans="7:12" x14ac:dyDescent="0.25">
      <c r="G174" t="s">
        <v>364</v>
      </c>
      <c r="H174" t="s">
        <v>73</v>
      </c>
      <c r="I174">
        <v>5</v>
      </c>
      <c r="J174" t="s">
        <v>364</v>
      </c>
      <c r="K174">
        <v>30</v>
      </c>
      <c r="L174" t="s">
        <v>22</v>
      </c>
    </row>
    <row r="175" spans="7:12" x14ac:dyDescent="0.25">
      <c r="G175" t="s">
        <v>365</v>
      </c>
      <c r="H175" t="s">
        <v>73</v>
      </c>
      <c r="I175">
        <v>6</v>
      </c>
      <c r="J175" t="s">
        <v>365</v>
      </c>
      <c r="K175">
        <v>30</v>
      </c>
      <c r="L175" t="s">
        <v>22</v>
      </c>
    </row>
    <row r="176" spans="7:12" x14ac:dyDescent="0.25">
      <c r="G176" t="s">
        <v>366</v>
      </c>
      <c r="H176" t="s">
        <v>73</v>
      </c>
      <c r="I176">
        <v>7</v>
      </c>
      <c r="J176" t="s">
        <v>366</v>
      </c>
      <c r="K176">
        <v>30</v>
      </c>
      <c r="L176" t="s">
        <v>22</v>
      </c>
    </row>
    <row r="177" spans="7:12" x14ac:dyDescent="0.25">
      <c r="G177" t="s">
        <v>367</v>
      </c>
      <c r="H177" t="s">
        <v>73</v>
      </c>
      <c r="I177">
        <v>9</v>
      </c>
      <c r="J177" t="s">
        <v>367</v>
      </c>
      <c r="K177">
        <v>30</v>
      </c>
      <c r="L177" t="s">
        <v>22</v>
      </c>
    </row>
    <row r="178" spans="7:12" x14ac:dyDescent="0.25">
      <c r="G178" t="s">
        <v>368</v>
      </c>
      <c r="H178" t="s">
        <v>73</v>
      </c>
      <c r="I178">
        <v>10</v>
      </c>
      <c r="J178" t="s">
        <v>368</v>
      </c>
      <c r="K178">
        <v>30</v>
      </c>
      <c r="L178" t="s">
        <v>22</v>
      </c>
    </row>
    <row r="179" spans="7:12" x14ac:dyDescent="0.25">
      <c r="G179" t="s">
        <v>369</v>
      </c>
      <c r="H179" t="s">
        <v>73</v>
      </c>
      <c r="I179">
        <v>11</v>
      </c>
      <c r="J179" t="s">
        <v>369</v>
      </c>
      <c r="K179">
        <v>60</v>
      </c>
      <c r="L179" t="s">
        <v>22</v>
      </c>
    </row>
    <row r="180" spans="7:12" x14ac:dyDescent="0.25">
      <c r="G180" t="s">
        <v>370</v>
      </c>
      <c r="H180" t="s">
        <v>73</v>
      </c>
      <c r="I180">
        <v>12</v>
      </c>
      <c r="J180" t="s">
        <v>370</v>
      </c>
      <c r="K180">
        <v>60</v>
      </c>
      <c r="L180" t="s">
        <v>22</v>
      </c>
    </row>
    <row r="181" spans="7:12" x14ac:dyDescent="0.25">
      <c r="G181" t="s">
        <v>371</v>
      </c>
      <c r="H181" t="s">
        <v>73</v>
      </c>
      <c r="I181">
        <v>13</v>
      </c>
      <c r="J181" t="s">
        <v>371</v>
      </c>
      <c r="K181">
        <v>60</v>
      </c>
      <c r="L181" t="s">
        <v>22</v>
      </c>
    </row>
    <row r="182" spans="7:12" x14ac:dyDescent="0.25">
      <c r="G182" t="s">
        <v>372</v>
      </c>
      <c r="H182" t="s">
        <v>73</v>
      </c>
      <c r="I182">
        <v>14</v>
      </c>
      <c r="J182" t="s">
        <v>372</v>
      </c>
      <c r="K182">
        <v>60</v>
      </c>
      <c r="L182" t="s">
        <v>22</v>
      </c>
    </row>
    <row r="183" spans="7:12" x14ac:dyDescent="0.25">
      <c r="G183" t="s">
        <v>373</v>
      </c>
      <c r="H183" t="s">
        <v>73</v>
      </c>
      <c r="I183">
        <v>15</v>
      </c>
      <c r="J183" t="s">
        <v>373</v>
      </c>
      <c r="K183">
        <v>60</v>
      </c>
      <c r="L183" t="s">
        <v>22</v>
      </c>
    </row>
    <row r="184" spans="7:12" x14ac:dyDescent="0.25">
      <c r="G184" t="s">
        <v>359</v>
      </c>
      <c r="H184" t="s">
        <v>73</v>
      </c>
      <c r="I184">
        <v>16</v>
      </c>
      <c r="J184" t="s">
        <v>359</v>
      </c>
      <c r="K184">
        <v>30</v>
      </c>
      <c r="L184" t="s">
        <v>22</v>
      </c>
    </row>
    <row r="185" spans="7:12" x14ac:dyDescent="0.25">
      <c r="G185" t="s">
        <v>360</v>
      </c>
      <c r="H185" t="s">
        <v>73</v>
      </c>
      <c r="I185">
        <v>17</v>
      </c>
      <c r="J185" t="s">
        <v>360</v>
      </c>
      <c r="K185">
        <v>60</v>
      </c>
      <c r="L185" t="s">
        <v>22</v>
      </c>
    </row>
    <row r="186" spans="7:12" x14ac:dyDescent="0.25">
      <c r="G186" t="s">
        <v>374</v>
      </c>
      <c r="H186" t="s">
        <v>73</v>
      </c>
      <c r="I186">
        <v>18</v>
      </c>
      <c r="J186" t="s">
        <v>374</v>
      </c>
      <c r="K186">
        <v>60</v>
      </c>
      <c r="L186" t="s">
        <v>22</v>
      </c>
    </row>
    <row r="187" spans="7:12" x14ac:dyDescent="0.25">
      <c r="G187" t="s">
        <v>375</v>
      </c>
      <c r="H187" t="s">
        <v>73</v>
      </c>
      <c r="I187">
        <v>19</v>
      </c>
      <c r="J187" t="s">
        <v>375</v>
      </c>
      <c r="K187">
        <v>60</v>
      </c>
      <c r="L187" t="s">
        <v>22</v>
      </c>
    </row>
    <row r="188" spans="7:12" x14ac:dyDescent="0.25">
      <c r="G188" t="s">
        <v>376</v>
      </c>
      <c r="H188" t="s">
        <v>73</v>
      </c>
      <c r="I188">
        <v>20</v>
      </c>
      <c r="J188" t="s">
        <v>376</v>
      </c>
      <c r="K188">
        <v>60</v>
      </c>
      <c r="L188" t="s">
        <v>22</v>
      </c>
    </row>
    <row r="189" spans="7:12" x14ac:dyDescent="0.25">
      <c r="G189" t="s">
        <v>377</v>
      </c>
      <c r="H189" t="s">
        <v>73</v>
      </c>
      <c r="I189">
        <v>21</v>
      </c>
      <c r="J189" t="s">
        <v>377</v>
      </c>
      <c r="K189">
        <v>60</v>
      </c>
      <c r="L189" t="s">
        <v>22</v>
      </c>
    </row>
    <row r="190" spans="7:12" x14ac:dyDescent="0.25">
      <c r="G190" t="s">
        <v>378</v>
      </c>
      <c r="H190" t="s">
        <v>73</v>
      </c>
      <c r="I190">
        <v>22</v>
      </c>
      <c r="J190" t="s">
        <v>378</v>
      </c>
      <c r="K190">
        <v>60</v>
      </c>
      <c r="L190" t="s">
        <v>22</v>
      </c>
    </row>
    <row r="191" spans="7:12" x14ac:dyDescent="0.25">
      <c r="G191" t="s">
        <v>379</v>
      </c>
      <c r="H191" t="s">
        <v>73</v>
      </c>
      <c r="I191">
        <v>23</v>
      </c>
      <c r="J191" t="s">
        <v>379</v>
      </c>
      <c r="K191">
        <v>60</v>
      </c>
      <c r="L191" t="s">
        <v>22</v>
      </c>
    </row>
    <row r="192" spans="7:12" x14ac:dyDescent="0.25">
      <c r="G192" t="s">
        <v>380</v>
      </c>
      <c r="H192" t="s">
        <v>73</v>
      </c>
      <c r="I192">
        <v>24</v>
      </c>
      <c r="J192" t="s">
        <v>380</v>
      </c>
      <c r="K192">
        <v>60</v>
      </c>
      <c r="L192" t="s">
        <v>22</v>
      </c>
    </row>
    <row r="193" spans="7:12" x14ac:dyDescent="0.25">
      <c r="G193" t="s">
        <v>381</v>
      </c>
      <c r="H193" t="s">
        <v>73</v>
      </c>
      <c r="I193">
        <v>25</v>
      </c>
      <c r="J193" t="s">
        <v>381</v>
      </c>
      <c r="K193">
        <v>60</v>
      </c>
      <c r="L193" t="s">
        <v>22</v>
      </c>
    </row>
    <row r="194" spans="7:12" x14ac:dyDescent="0.25">
      <c r="G194" t="s">
        <v>382</v>
      </c>
      <c r="H194" t="s">
        <v>73</v>
      </c>
      <c r="I194">
        <v>26</v>
      </c>
      <c r="J194" t="s">
        <v>382</v>
      </c>
      <c r="K194">
        <v>60</v>
      </c>
      <c r="L194" t="s">
        <v>22</v>
      </c>
    </row>
    <row r="195" spans="7:12" x14ac:dyDescent="0.25">
      <c r="G195" t="s">
        <v>383</v>
      </c>
      <c r="H195" t="s">
        <v>73</v>
      </c>
      <c r="I195">
        <v>27</v>
      </c>
      <c r="J195" t="s">
        <v>383</v>
      </c>
      <c r="K195">
        <v>60</v>
      </c>
      <c r="L195" t="s">
        <v>22</v>
      </c>
    </row>
    <row r="196" spans="7:12" x14ac:dyDescent="0.25">
      <c r="G196" t="s">
        <v>361</v>
      </c>
      <c r="H196" t="s">
        <v>73</v>
      </c>
      <c r="I196">
        <v>28</v>
      </c>
      <c r="J196" t="s">
        <v>361</v>
      </c>
      <c r="K196">
        <v>60</v>
      </c>
      <c r="L196" t="s">
        <v>22</v>
      </c>
    </row>
    <row r="197" spans="7:12" x14ac:dyDescent="0.25">
      <c r="G197" t="s">
        <v>387</v>
      </c>
      <c r="H197" t="s">
        <v>75</v>
      </c>
      <c r="I197">
        <v>9</v>
      </c>
      <c r="J197" t="s">
        <v>387</v>
      </c>
      <c r="K197">
        <v>30</v>
      </c>
      <c r="L197" t="s">
        <v>22</v>
      </c>
    </row>
    <row r="198" spans="7:12" x14ac:dyDescent="0.25">
      <c r="G198" t="s">
        <v>395</v>
      </c>
      <c r="H198" t="s">
        <v>75</v>
      </c>
      <c r="I198">
        <v>10</v>
      </c>
      <c r="J198" t="s">
        <v>395</v>
      </c>
      <c r="K198">
        <v>30</v>
      </c>
      <c r="L198" t="s">
        <v>22</v>
      </c>
    </row>
    <row r="199" spans="7:12" x14ac:dyDescent="0.25">
      <c r="G199" t="s">
        <v>396</v>
      </c>
      <c r="H199" t="s">
        <v>75</v>
      </c>
      <c r="I199">
        <v>11</v>
      </c>
      <c r="J199" t="s">
        <v>396</v>
      </c>
      <c r="K199">
        <v>30</v>
      </c>
      <c r="L199" t="s">
        <v>22</v>
      </c>
    </row>
    <row r="200" spans="7:12" x14ac:dyDescent="0.25">
      <c r="G200" t="s">
        <v>397</v>
      </c>
      <c r="H200" t="s">
        <v>75</v>
      </c>
      <c r="I200">
        <v>12</v>
      </c>
      <c r="J200" t="s">
        <v>397</v>
      </c>
      <c r="K200">
        <v>30</v>
      </c>
      <c r="L200" t="s">
        <v>22</v>
      </c>
    </row>
    <row r="201" spans="7:12" x14ac:dyDescent="0.25">
      <c r="G201" t="s">
        <v>398</v>
      </c>
      <c r="H201" t="s">
        <v>75</v>
      </c>
      <c r="I201">
        <v>13</v>
      </c>
      <c r="J201" t="s">
        <v>398</v>
      </c>
      <c r="K201">
        <v>30</v>
      </c>
      <c r="L201" t="s">
        <v>22</v>
      </c>
    </row>
    <row r="202" spans="7:12" x14ac:dyDescent="0.25">
      <c r="G202" t="s">
        <v>399</v>
      </c>
      <c r="H202" t="s">
        <v>75</v>
      </c>
      <c r="I202">
        <v>14</v>
      </c>
      <c r="J202" t="s">
        <v>399</v>
      </c>
      <c r="K202">
        <v>30</v>
      </c>
      <c r="L202" t="s">
        <v>22</v>
      </c>
    </row>
    <row r="203" spans="7:12" x14ac:dyDescent="0.25">
      <c r="G203" t="s">
        <v>400</v>
      </c>
      <c r="H203" t="s">
        <v>75</v>
      </c>
      <c r="I203">
        <v>15</v>
      </c>
      <c r="J203" t="s">
        <v>400</v>
      </c>
      <c r="K203">
        <v>30</v>
      </c>
      <c r="L203" t="s">
        <v>22</v>
      </c>
    </row>
    <row r="204" spans="7:12" x14ac:dyDescent="0.25">
      <c r="G204" t="s">
        <v>388</v>
      </c>
      <c r="H204" t="s">
        <v>75</v>
      </c>
      <c r="I204">
        <v>31</v>
      </c>
      <c r="J204" t="s">
        <v>388</v>
      </c>
      <c r="K204">
        <v>60</v>
      </c>
      <c r="L204" t="s">
        <v>22</v>
      </c>
    </row>
    <row r="205" spans="7:12" x14ac:dyDescent="0.25">
      <c r="G205" t="s">
        <v>416</v>
      </c>
      <c r="H205" t="s">
        <v>75</v>
      </c>
      <c r="I205">
        <v>32</v>
      </c>
      <c r="J205" t="s">
        <v>416</v>
      </c>
      <c r="K205">
        <v>60</v>
      </c>
      <c r="L205" t="s">
        <v>22</v>
      </c>
    </row>
    <row r="206" spans="7:12" x14ac:dyDescent="0.25">
      <c r="G206" t="s">
        <v>417</v>
      </c>
      <c r="H206" t="s">
        <v>75</v>
      </c>
      <c r="I206">
        <v>33</v>
      </c>
      <c r="J206" t="s">
        <v>417</v>
      </c>
      <c r="K206">
        <v>60</v>
      </c>
      <c r="L206" t="s">
        <v>22</v>
      </c>
    </row>
    <row r="207" spans="7:12" x14ac:dyDescent="0.25">
      <c r="G207" t="s">
        <v>419</v>
      </c>
      <c r="H207" t="s">
        <v>75</v>
      </c>
      <c r="I207">
        <v>35</v>
      </c>
      <c r="J207" t="s">
        <v>419</v>
      </c>
      <c r="K207">
        <v>60</v>
      </c>
      <c r="L207" t="s">
        <v>22</v>
      </c>
    </row>
    <row r="208" spans="7:12" x14ac:dyDescent="0.25">
      <c r="G208" t="s">
        <v>420</v>
      </c>
      <c r="H208" t="s">
        <v>75</v>
      </c>
      <c r="I208">
        <v>36</v>
      </c>
      <c r="J208" t="s">
        <v>420</v>
      </c>
      <c r="K208">
        <v>60</v>
      </c>
      <c r="L208" t="s">
        <v>22</v>
      </c>
    </row>
    <row r="209" spans="7:12" x14ac:dyDescent="0.25">
      <c r="G209" t="s">
        <v>389</v>
      </c>
      <c r="H209" t="s">
        <v>75</v>
      </c>
      <c r="I209">
        <v>37</v>
      </c>
      <c r="J209" t="s">
        <v>389</v>
      </c>
      <c r="K209">
        <v>60</v>
      </c>
      <c r="L209" t="s">
        <v>22</v>
      </c>
    </row>
    <row r="210" spans="7:12" x14ac:dyDescent="0.25">
      <c r="G210" t="s">
        <v>423</v>
      </c>
      <c r="H210" t="s">
        <v>75</v>
      </c>
      <c r="I210">
        <v>40</v>
      </c>
      <c r="J210" t="s">
        <v>423</v>
      </c>
      <c r="K210">
        <v>60</v>
      </c>
      <c r="L210" t="s">
        <v>22</v>
      </c>
    </row>
    <row r="211" spans="7:12" x14ac:dyDescent="0.25">
      <c r="G211" t="s">
        <v>387</v>
      </c>
      <c r="H211" t="s">
        <v>76</v>
      </c>
      <c r="I211">
        <v>9</v>
      </c>
      <c r="J211" t="s">
        <v>387</v>
      </c>
      <c r="K211">
        <v>30</v>
      </c>
      <c r="L211" t="s">
        <v>22</v>
      </c>
    </row>
    <row r="212" spans="7:12" x14ac:dyDescent="0.25">
      <c r="G212" t="s">
        <v>395</v>
      </c>
      <c r="H212" t="s">
        <v>76</v>
      </c>
      <c r="I212">
        <v>10</v>
      </c>
      <c r="J212" t="s">
        <v>395</v>
      </c>
      <c r="K212">
        <v>30</v>
      </c>
      <c r="L212" t="s">
        <v>22</v>
      </c>
    </row>
    <row r="213" spans="7:12" x14ac:dyDescent="0.25">
      <c r="G213" t="s">
        <v>396</v>
      </c>
      <c r="H213" t="s">
        <v>76</v>
      </c>
      <c r="I213">
        <v>11</v>
      </c>
      <c r="J213" t="s">
        <v>396</v>
      </c>
      <c r="K213">
        <v>30</v>
      </c>
      <c r="L213" t="s">
        <v>22</v>
      </c>
    </row>
    <row r="214" spans="7:12" x14ac:dyDescent="0.25">
      <c r="G214" t="s">
        <v>398</v>
      </c>
      <c r="H214" t="s">
        <v>76</v>
      </c>
      <c r="I214">
        <v>13</v>
      </c>
      <c r="J214" t="s">
        <v>398</v>
      </c>
      <c r="K214">
        <v>30</v>
      </c>
      <c r="L214" t="s">
        <v>22</v>
      </c>
    </row>
    <row r="215" spans="7:12" x14ac:dyDescent="0.25">
      <c r="G215" t="s">
        <v>401</v>
      </c>
      <c r="H215" t="s">
        <v>76</v>
      </c>
      <c r="I215">
        <v>16</v>
      </c>
      <c r="J215" t="s">
        <v>401</v>
      </c>
      <c r="K215">
        <v>30</v>
      </c>
      <c r="L215" t="s">
        <v>22</v>
      </c>
    </row>
    <row r="216" spans="7:12" x14ac:dyDescent="0.25">
      <c r="G216" t="s">
        <v>402</v>
      </c>
      <c r="H216" t="s">
        <v>76</v>
      </c>
      <c r="I216">
        <v>17</v>
      </c>
      <c r="J216" t="s">
        <v>402</v>
      </c>
      <c r="K216">
        <v>30</v>
      </c>
      <c r="L216" t="s">
        <v>22</v>
      </c>
    </row>
    <row r="217" spans="7:12" x14ac:dyDescent="0.25">
      <c r="G217" t="s">
        <v>403</v>
      </c>
      <c r="H217" t="s">
        <v>76</v>
      </c>
      <c r="I217">
        <v>18</v>
      </c>
      <c r="J217" t="s">
        <v>403</v>
      </c>
      <c r="K217">
        <v>30</v>
      </c>
      <c r="L217" t="s">
        <v>22</v>
      </c>
    </row>
    <row r="218" spans="7:12" x14ac:dyDescent="0.25">
      <c r="G218" t="s">
        <v>419</v>
      </c>
      <c r="H218" t="s">
        <v>76</v>
      </c>
      <c r="I218">
        <v>35</v>
      </c>
      <c r="J218" t="s">
        <v>419</v>
      </c>
      <c r="K218">
        <v>60</v>
      </c>
      <c r="L218" t="s">
        <v>22</v>
      </c>
    </row>
    <row r="219" spans="7:12" x14ac:dyDescent="0.25">
      <c r="G219" t="s">
        <v>420</v>
      </c>
      <c r="H219" t="s">
        <v>76</v>
      </c>
      <c r="I219">
        <v>36</v>
      </c>
      <c r="J219" t="s">
        <v>420</v>
      </c>
      <c r="K219">
        <v>60</v>
      </c>
      <c r="L219" t="s">
        <v>22</v>
      </c>
    </row>
    <row r="220" spans="7:12" x14ac:dyDescent="0.25">
      <c r="G220" t="s">
        <v>423</v>
      </c>
      <c r="H220" t="s">
        <v>76</v>
      </c>
      <c r="I220">
        <v>40</v>
      </c>
      <c r="J220" t="s">
        <v>423</v>
      </c>
      <c r="K220">
        <v>60</v>
      </c>
      <c r="L220" t="s">
        <v>22</v>
      </c>
    </row>
    <row r="221" spans="7:12" x14ac:dyDescent="0.25">
      <c r="G221" t="s">
        <v>387</v>
      </c>
      <c r="H221" t="s">
        <v>77</v>
      </c>
      <c r="I221">
        <v>9</v>
      </c>
      <c r="J221" t="s">
        <v>387</v>
      </c>
      <c r="K221">
        <v>30</v>
      </c>
      <c r="L221" t="s">
        <v>22</v>
      </c>
    </row>
    <row r="222" spans="7:12" x14ac:dyDescent="0.25">
      <c r="G222" t="s">
        <v>395</v>
      </c>
      <c r="H222" t="s">
        <v>77</v>
      </c>
      <c r="I222">
        <v>10</v>
      </c>
      <c r="J222" t="s">
        <v>395</v>
      </c>
      <c r="K222">
        <v>30</v>
      </c>
      <c r="L222" t="s">
        <v>22</v>
      </c>
    </row>
    <row r="223" spans="7:12" x14ac:dyDescent="0.25">
      <c r="G223" t="s">
        <v>396</v>
      </c>
      <c r="H223" t="s">
        <v>77</v>
      </c>
      <c r="I223">
        <v>11</v>
      </c>
      <c r="J223" t="s">
        <v>396</v>
      </c>
      <c r="K223">
        <v>30</v>
      </c>
      <c r="L223" t="s">
        <v>22</v>
      </c>
    </row>
    <row r="224" spans="7:12" x14ac:dyDescent="0.25">
      <c r="G224" t="s">
        <v>399</v>
      </c>
      <c r="H224" t="s">
        <v>77</v>
      </c>
      <c r="I224">
        <v>14</v>
      </c>
      <c r="J224" t="s">
        <v>399</v>
      </c>
      <c r="K224">
        <v>30</v>
      </c>
      <c r="L224" t="s">
        <v>22</v>
      </c>
    </row>
    <row r="225" spans="7:12" x14ac:dyDescent="0.25">
      <c r="G225" t="s">
        <v>387</v>
      </c>
      <c r="H225" t="s">
        <v>78</v>
      </c>
      <c r="I225">
        <v>9</v>
      </c>
      <c r="J225" t="s">
        <v>387</v>
      </c>
      <c r="K225">
        <v>30</v>
      </c>
      <c r="L225" t="s">
        <v>22</v>
      </c>
    </row>
    <row r="226" spans="7:12" x14ac:dyDescent="0.25">
      <c r="G226" t="s">
        <v>404</v>
      </c>
      <c r="H226" t="s">
        <v>78</v>
      </c>
      <c r="I226">
        <v>19</v>
      </c>
      <c r="J226" t="s">
        <v>404</v>
      </c>
      <c r="K226">
        <v>30</v>
      </c>
      <c r="L226" t="s">
        <v>22</v>
      </c>
    </row>
    <row r="227" spans="7:12" x14ac:dyDescent="0.25">
      <c r="G227" t="s">
        <v>405</v>
      </c>
      <c r="H227" t="s">
        <v>78</v>
      </c>
      <c r="I227">
        <v>20</v>
      </c>
      <c r="J227" t="s">
        <v>405</v>
      </c>
      <c r="K227">
        <v>30</v>
      </c>
      <c r="L227" t="s">
        <v>22</v>
      </c>
    </row>
    <row r="228" spans="7:12" x14ac:dyDescent="0.25">
      <c r="G228" t="s">
        <v>406</v>
      </c>
      <c r="H228" t="s">
        <v>78</v>
      </c>
      <c r="I228">
        <v>21</v>
      </c>
      <c r="J228" t="s">
        <v>406</v>
      </c>
      <c r="K228">
        <v>30</v>
      </c>
      <c r="L228" t="s">
        <v>22</v>
      </c>
    </row>
    <row r="229" spans="7:12" x14ac:dyDescent="0.25">
      <c r="G229" t="s">
        <v>407</v>
      </c>
      <c r="H229" t="s">
        <v>78</v>
      </c>
      <c r="I229">
        <v>22</v>
      </c>
      <c r="J229" t="s">
        <v>407</v>
      </c>
      <c r="K229">
        <v>30</v>
      </c>
      <c r="L229" t="s">
        <v>22</v>
      </c>
    </row>
    <row r="230" spans="7:12" x14ac:dyDescent="0.25">
      <c r="G230" t="s">
        <v>408</v>
      </c>
      <c r="H230" t="s">
        <v>78</v>
      </c>
      <c r="I230">
        <v>23</v>
      </c>
      <c r="J230" t="s">
        <v>408</v>
      </c>
      <c r="K230">
        <v>30</v>
      </c>
      <c r="L230" t="s">
        <v>22</v>
      </c>
    </row>
    <row r="231" spans="7:12" x14ac:dyDescent="0.25">
      <c r="G231" t="s">
        <v>409</v>
      </c>
      <c r="H231" t="s">
        <v>78</v>
      </c>
      <c r="I231">
        <v>24</v>
      </c>
      <c r="J231" t="s">
        <v>409</v>
      </c>
      <c r="K231">
        <v>30</v>
      </c>
      <c r="L231" t="s">
        <v>22</v>
      </c>
    </row>
    <row r="232" spans="7:12" x14ac:dyDescent="0.25">
      <c r="G232" t="s">
        <v>410</v>
      </c>
      <c r="H232" t="s">
        <v>78</v>
      </c>
      <c r="I232">
        <v>25</v>
      </c>
      <c r="J232" t="s">
        <v>410</v>
      </c>
      <c r="K232">
        <v>30</v>
      </c>
      <c r="L232" t="s">
        <v>22</v>
      </c>
    </row>
    <row r="233" spans="7:12" x14ac:dyDescent="0.25">
      <c r="G233" t="s">
        <v>411</v>
      </c>
      <c r="H233" t="s">
        <v>78</v>
      </c>
      <c r="I233">
        <v>26</v>
      </c>
      <c r="J233" t="s">
        <v>411</v>
      </c>
      <c r="K233">
        <v>30</v>
      </c>
      <c r="L233" t="s">
        <v>22</v>
      </c>
    </row>
    <row r="234" spans="7:12" x14ac:dyDescent="0.25">
      <c r="G234" t="s">
        <v>412</v>
      </c>
      <c r="H234" t="s">
        <v>78</v>
      </c>
      <c r="I234">
        <v>27</v>
      </c>
      <c r="J234" t="s">
        <v>412</v>
      </c>
      <c r="K234">
        <v>30</v>
      </c>
      <c r="L234" t="s">
        <v>22</v>
      </c>
    </row>
    <row r="235" spans="7:12" x14ac:dyDescent="0.25">
      <c r="G235" t="s">
        <v>413</v>
      </c>
      <c r="H235" t="s">
        <v>78</v>
      </c>
      <c r="I235">
        <v>28</v>
      </c>
      <c r="J235" t="s">
        <v>413</v>
      </c>
      <c r="K235">
        <v>30</v>
      </c>
      <c r="L235" t="s">
        <v>22</v>
      </c>
    </row>
    <row r="236" spans="7:12" x14ac:dyDescent="0.25">
      <c r="G236" t="s">
        <v>414</v>
      </c>
      <c r="H236" t="s">
        <v>78</v>
      </c>
      <c r="I236">
        <v>29</v>
      </c>
      <c r="J236" t="s">
        <v>414</v>
      </c>
      <c r="K236">
        <v>30</v>
      </c>
      <c r="L236" t="s">
        <v>22</v>
      </c>
    </row>
    <row r="237" spans="7:12" x14ac:dyDescent="0.25">
      <c r="G237" t="s">
        <v>388</v>
      </c>
      <c r="H237" t="s">
        <v>78</v>
      </c>
      <c r="I237">
        <v>31</v>
      </c>
      <c r="J237" t="s">
        <v>388</v>
      </c>
      <c r="K237">
        <v>60</v>
      </c>
      <c r="L237" t="s">
        <v>22</v>
      </c>
    </row>
    <row r="238" spans="7:12" x14ac:dyDescent="0.25">
      <c r="G238" t="s">
        <v>417</v>
      </c>
      <c r="H238" t="s">
        <v>78</v>
      </c>
      <c r="I238">
        <v>33</v>
      </c>
      <c r="J238" t="s">
        <v>417</v>
      </c>
      <c r="K238">
        <v>60</v>
      </c>
      <c r="L238" t="s">
        <v>22</v>
      </c>
    </row>
    <row r="239" spans="7:12" x14ac:dyDescent="0.25">
      <c r="G239" t="s">
        <v>418</v>
      </c>
      <c r="H239" t="s">
        <v>78</v>
      </c>
      <c r="I239">
        <v>34</v>
      </c>
      <c r="J239" t="s">
        <v>418</v>
      </c>
      <c r="K239">
        <v>60</v>
      </c>
      <c r="L239" t="s">
        <v>22</v>
      </c>
    </row>
    <row r="240" spans="7:12" x14ac:dyDescent="0.25">
      <c r="G240" t="s">
        <v>389</v>
      </c>
      <c r="H240" t="s">
        <v>78</v>
      </c>
      <c r="I240">
        <v>37</v>
      </c>
      <c r="J240" t="s">
        <v>389</v>
      </c>
      <c r="K240">
        <v>60</v>
      </c>
      <c r="L240" t="s">
        <v>22</v>
      </c>
    </row>
    <row r="241" spans="7:12" x14ac:dyDescent="0.25">
      <c r="G241" t="s">
        <v>421</v>
      </c>
      <c r="H241" t="s">
        <v>78</v>
      </c>
      <c r="I241">
        <v>38</v>
      </c>
      <c r="J241" t="s">
        <v>421</v>
      </c>
      <c r="K241">
        <v>30</v>
      </c>
      <c r="L241" t="s">
        <v>22</v>
      </c>
    </row>
    <row r="242" spans="7:12" x14ac:dyDescent="0.25">
      <c r="G242" t="s">
        <v>422</v>
      </c>
      <c r="H242" t="s">
        <v>78</v>
      </c>
      <c r="I242">
        <v>39</v>
      </c>
      <c r="J242" t="s">
        <v>422</v>
      </c>
      <c r="K242">
        <v>30</v>
      </c>
      <c r="L242" t="s">
        <v>22</v>
      </c>
    </row>
    <row r="243" spans="7:12" x14ac:dyDescent="0.25">
      <c r="G243" t="s">
        <v>438</v>
      </c>
      <c r="H243" t="s">
        <v>79</v>
      </c>
      <c r="I243">
        <v>3</v>
      </c>
      <c r="J243" t="s">
        <v>438</v>
      </c>
      <c r="K243">
        <v>30</v>
      </c>
      <c r="L243" t="s">
        <v>22</v>
      </c>
    </row>
    <row r="244" spans="7:12" x14ac:dyDescent="0.25">
      <c r="G244" t="s">
        <v>439</v>
      </c>
      <c r="H244" t="s">
        <v>79</v>
      </c>
      <c r="I244">
        <v>4</v>
      </c>
      <c r="J244" t="s">
        <v>439</v>
      </c>
      <c r="K244">
        <v>30</v>
      </c>
      <c r="L244" t="s">
        <v>22</v>
      </c>
    </row>
    <row r="245" spans="7:12" x14ac:dyDescent="0.25">
      <c r="G245" t="s">
        <v>440</v>
      </c>
      <c r="H245" t="s">
        <v>79</v>
      </c>
      <c r="I245">
        <v>5</v>
      </c>
      <c r="J245" t="s">
        <v>440</v>
      </c>
      <c r="K245">
        <v>30</v>
      </c>
      <c r="L245" t="s">
        <v>22</v>
      </c>
    </row>
    <row r="246" spans="7:12" x14ac:dyDescent="0.25">
      <c r="G246" t="s">
        <v>435</v>
      </c>
      <c r="H246" t="s">
        <v>79</v>
      </c>
      <c r="I246">
        <v>7</v>
      </c>
      <c r="J246" t="s">
        <v>435</v>
      </c>
      <c r="K246">
        <v>60</v>
      </c>
      <c r="L246" t="s">
        <v>22</v>
      </c>
    </row>
    <row r="247" spans="7:12" x14ac:dyDescent="0.25">
      <c r="G247" t="s">
        <v>441</v>
      </c>
      <c r="H247" t="s">
        <v>79</v>
      </c>
      <c r="I247">
        <v>8</v>
      </c>
      <c r="J247" t="s">
        <v>441</v>
      </c>
      <c r="K247">
        <v>30</v>
      </c>
      <c r="L247" t="s">
        <v>22</v>
      </c>
    </row>
    <row r="248" spans="7:12" x14ac:dyDescent="0.25">
      <c r="G248" t="s">
        <v>442</v>
      </c>
      <c r="H248" t="s">
        <v>79</v>
      </c>
      <c r="I248">
        <v>9</v>
      </c>
      <c r="J248" t="s">
        <v>442</v>
      </c>
      <c r="K248">
        <v>30</v>
      </c>
      <c r="L248" t="s">
        <v>22</v>
      </c>
    </row>
    <row r="249" spans="7:12" x14ac:dyDescent="0.25">
      <c r="G249" t="s">
        <v>443</v>
      </c>
      <c r="H249" t="s">
        <v>79</v>
      </c>
      <c r="I249">
        <v>10</v>
      </c>
      <c r="J249" t="s">
        <v>443</v>
      </c>
      <c r="K249">
        <v>30</v>
      </c>
      <c r="L249" t="s">
        <v>22</v>
      </c>
    </row>
    <row r="250" spans="7:12" x14ac:dyDescent="0.25">
      <c r="G250" t="s">
        <v>444</v>
      </c>
      <c r="H250" t="s">
        <v>79</v>
      </c>
      <c r="I250">
        <v>11</v>
      </c>
      <c r="J250" t="s">
        <v>444</v>
      </c>
      <c r="K250">
        <v>30</v>
      </c>
      <c r="L250" t="s">
        <v>22</v>
      </c>
    </row>
    <row r="251" spans="7:12" x14ac:dyDescent="0.25">
      <c r="G251" t="s">
        <v>445</v>
      </c>
      <c r="H251" t="s">
        <v>79</v>
      </c>
      <c r="I251">
        <v>12</v>
      </c>
      <c r="J251" t="s">
        <v>445</v>
      </c>
      <c r="K251">
        <v>60</v>
      </c>
      <c r="L251" t="s">
        <v>22</v>
      </c>
    </row>
    <row r="252" spans="7:12" x14ac:dyDescent="0.25">
      <c r="G252" t="s">
        <v>446</v>
      </c>
      <c r="H252" t="s">
        <v>79</v>
      </c>
      <c r="I252">
        <v>13</v>
      </c>
      <c r="J252" t="s">
        <v>446</v>
      </c>
      <c r="K252">
        <v>60</v>
      </c>
      <c r="L252" t="s">
        <v>22</v>
      </c>
    </row>
    <row r="253" spans="7:12" x14ac:dyDescent="0.25">
      <c r="G253" t="s">
        <v>447</v>
      </c>
      <c r="H253" t="s">
        <v>79</v>
      </c>
      <c r="I253">
        <v>14</v>
      </c>
      <c r="J253" t="s">
        <v>447</v>
      </c>
      <c r="K253">
        <v>60</v>
      </c>
      <c r="L253" t="s">
        <v>22</v>
      </c>
    </row>
    <row r="254" spans="7:12" x14ac:dyDescent="0.25">
      <c r="G254" t="s">
        <v>448</v>
      </c>
      <c r="H254" t="s">
        <v>79</v>
      </c>
      <c r="I254">
        <v>15</v>
      </c>
      <c r="J254" t="s">
        <v>448</v>
      </c>
      <c r="K254">
        <v>30</v>
      </c>
      <c r="L254" t="s">
        <v>22</v>
      </c>
    </row>
    <row r="255" spans="7:12" x14ac:dyDescent="0.25">
      <c r="G255" t="s">
        <v>436</v>
      </c>
      <c r="H255" t="s">
        <v>79</v>
      </c>
      <c r="I255">
        <v>16</v>
      </c>
      <c r="J255" t="s">
        <v>436</v>
      </c>
      <c r="K255">
        <v>30</v>
      </c>
      <c r="L255" t="s">
        <v>22</v>
      </c>
    </row>
    <row r="256" spans="7:12" x14ac:dyDescent="0.25">
      <c r="G256" t="s">
        <v>449</v>
      </c>
      <c r="H256" t="s">
        <v>79</v>
      </c>
      <c r="I256">
        <v>17</v>
      </c>
      <c r="J256" t="s">
        <v>449</v>
      </c>
      <c r="K256">
        <v>60</v>
      </c>
      <c r="L256" t="s">
        <v>22</v>
      </c>
    </row>
    <row r="257" spans="7:12" x14ac:dyDescent="0.25">
      <c r="G257" t="s">
        <v>450</v>
      </c>
      <c r="H257" t="s">
        <v>79</v>
      </c>
      <c r="I257">
        <v>18</v>
      </c>
      <c r="J257" t="s">
        <v>450</v>
      </c>
      <c r="K257">
        <v>60</v>
      </c>
      <c r="L257" t="s">
        <v>22</v>
      </c>
    </row>
    <row r="258" spans="7:12" x14ac:dyDescent="0.25">
      <c r="G258" t="s">
        <v>437</v>
      </c>
      <c r="H258" t="s">
        <v>79</v>
      </c>
      <c r="I258">
        <v>19</v>
      </c>
      <c r="J258" t="s">
        <v>437</v>
      </c>
      <c r="K258">
        <v>60</v>
      </c>
      <c r="L258" t="s">
        <v>22</v>
      </c>
    </row>
    <row r="259" spans="7:12" x14ac:dyDescent="0.25">
      <c r="G259" t="s">
        <v>451</v>
      </c>
      <c r="H259" t="s">
        <v>79</v>
      </c>
      <c r="I259">
        <v>20</v>
      </c>
      <c r="J259" t="s">
        <v>451</v>
      </c>
      <c r="K259">
        <v>60</v>
      </c>
      <c r="L259" t="s">
        <v>22</v>
      </c>
    </row>
    <row r="260" spans="7:12" x14ac:dyDescent="0.25">
      <c r="G260" t="s">
        <v>455</v>
      </c>
      <c r="H260" t="s">
        <v>82</v>
      </c>
      <c r="I260">
        <v>3</v>
      </c>
      <c r="J260" t="s">
        <v>455</v>
      </c>
      <c r="K260">
        <v>30</v>
      </c>
      <c r="L260" t="s">
        <v>22</v>
      </c>
    </row>
    <row r="261" spans="7:12" x14ac:dyDescent="0.25">
      <c r="G261" t="s">
        <v>456</v>
      </c>
      <c r="H261" t="s">
        <v>82</v>
      </c>
      <c r="I261">
        <v>4</v>
      </c>
      <c r="J261" t="s">
        <v>456</v>
      </c>
      <c r="K261">
        <v>30</v>
      </c>
      <c r="L261" t="s">
        <v>22</v>
      </c>
    </row>
    <row r="262" spans="7:12" x14ac:dyDescent="0.25">
      <c r="G262" t="s">
        <v>457</v>
      </c>
      <c r="H262" t="s">
        <v>82</v>
      </c>
      <c r="I262">
        <v>5</v>
      </c>
      <c r="J262" t="s">
        <v>457</v>
      </c>
      <c r="K262">
        <v>30</v>
      </c>
      <c r="L262" t="s">
        <v>22</v>
      </c>
    </row>
    <row r="263" spans="7:12" x14ac:dyDescent="0.25">
      <c r="G263" t="s">
        <v>467</v>
      </c>
      <c r="H263" t="s">
        <v>82</v>
      </c>
      <c r="I263">
        <v>6</v>
      </c>
      <c r="J263" t="s">
        <v>467</v>
      </c>
      <c r="K263">
        <v>30</v>
      </c>
      <c r="L263" t="s">
        <v>22</v>
      </c>
    </row>
    <row r="264" spans="7:12" x14ac:dyDescent="0.25">
      <c r="G264" t="s">
        <v>468</v>
      </c>
      <c r="H264" t="s">
        <v>82</v>
      </c>
      <c r="I264">
        <v>8</v>
      </c>
      <c r="J264" t="s">
        <v>468</v>
      </c>
      <c r="K264">
        <v>30</v>
      </c>
      <c r="L264" t="s">
        <v>22</v>
      </c>
    </row>
    <row r="265" spans="7:12" x14ac:dyDescent="0.25">
      <c r="G265" t="s">
        <v>469</v>
      </c>
      <c r="H265" t="s">
        <v>82</v>
      </c>
      <c r="I265">
        <v>9</v>
      </c>
      <c r="J265" t="s">
        <v>469</v>
      </c>
      <c r="K265">
        <v>30</v>
      </c>
      <c r="L265" t="s">
        <v>22</v>
      </c>
    </row>
    <row r="266" spans="7:12" x14ac:dyDescent="0.25">
      <c r="G266" t="s">
        <v>470</v>
      </c>
      <c r="H266" t="s">
        <v>82</v>
      </c>
      <c r="I266">
        <v>10</v>
      </c>
      <c r="J266" t="s">
        <v>470</v>
      </c>
      <c r="K266">
        <v>30</v>
      </c>
      <c r="L266" t="s">
        <v>22</v>
      </c>
    </row>
    <row r="267" spans="7:12" x14ac:dyDescent="0.25">
      <c r="G267" t="s">
        <v>471</v>
      </c>
      <c r="H267" t="s">
        <v>82</v>
      </c>
      <c r="I267">
        <v>11</v>
      </c>
      <c r="J267" t="s">
        <v>471</v>
      </c>
      <c r="K267">
        <v>30</v>
      </c>
      <c r="L267" t="s">
        <v>22</v>
      </c>
    </row>
    <row r="268" spans="7:12" x14ac:dyDescent="0.25">
      <c r="G268" t="s">
        <v>472</v>
      </c>
      <c r="H268" t="s">
        <v>82</v>
      </c>
      <c r="I268">
        <v>12</v>
      </c>
      <c r="J268" t="s">
        <v>472</v>
      </c>
      <c r="K268">
        <v>30</v>
      </c>
      <c r="L268" t="s">
        <v>22</v>
      </c>
    </row>
    <row r="269" spans="7:12" x14ac:dyDescent="0.25">
      <c r="G269" t="s">
        <v>473</v>
      </c>
      <c r="H269" t="s">
        <v>82</v>
      </c>
      <c r="I269">
        <v>13</v>
      </c>
      <c r="J269" t="s">
        <v>473</v>
      </c>
      <c r="K269">
        <v>30</v>
      </c>
      <c r="L269" t="s">
        <v>22</v>
      </c>
    </row>
    <row r="270" spans="7:12" x14ac:dyDescent="0.25">
      <c r="G270" t="s">
        <v>484</v>
      </c>
      <c r="H270" t="s">
        <v>87</v>
      </c>
      <c r="I270">
        <v>3</v>
      </c>
      <c r="J270" t="s">
        <v>484</v>
      </c>
      <c r="K270">
        <v>30</v>
      </c>
      <c r="L270" t="s">
        <v>22</v>
      </c>
    </row>
    <row r="271" spans="7:12" x14ac:dyDescent="0.25">
      <c r="G271" t="s">
        <v>486</v>
      </c>
      <c r="H271" t="s">
        <v>87</v>
      </c>
      <c r="I271">
        <v>5</v>
      </c>
      <c r="J271" t="s">
        <v>486</v>
      </c>
      <c r="K271">
        <v>30</v>
      </c>
      <c r="L271" t="s">
        <v>22</v>
      </c>
    </row>
    <row r="272" spans="7:12" x14ac:dyDescent="0.25">
      <c r="G272" t="s">
        <v>525</v>
      </c>
      <c r="H272" t="s">
        <v>87</v>
      </c>
      <c r="I272">
        <v>6</v>
      </c>
      <c r="J272" t="s">
        <v>525</v>
      </c>
      <c r="K272">
        <v>30</v>
      </c>
      <c r="L272" t="s">
        <v>22</v>
      </c>
    </row>
    <row r="273" spans="7:12" x14ac:dyDescent="0.25">
      <c r="G273" t="s">
        <v>489</v>
      </c>
      <c r="H273" t="s">
        <v>87</v>
      </c>
      <c r="I273">
        <v>8</v>
      </c>
      <c r="J273" t="s">
        <v>489</v>
      </c>
      <c r="K273">
        <v>30</v>
      </c>
      <c r="L273" t="s">
        <v>22</v>
      </c>
    </row>
    <row r="274" spans="7:12" x14ac:dyDescent="0.25">
      <c r="G274" t="s">
        <v>490</v>
      </c>
      <c r="H274" t="s">
        <v>87</v>
      </c>
      <c r="I274">
        <v>9</v>
      </c>
      <c r="J274" t="s">
        <v>490</v>
      </c>
      <c r="K274">
        <v>30</v>
      </c>
      <c r="L274" t="s">
        <v>22</v>
      </c>
    </row>
    <row r="275" spans="7:12" x14ac:dyDescent="0.25">
      <c r="G275" t="s">
        <v>491</v>
      </c>
      <c r="H275" t="s">
        <v>87</v>
      </c>
      <c r="I275">
        <v>10</v>
      </c>
      <c r="J275" t="s">
        <v>491</v>
      </c>
      <c r="K275">
        <v>30</v>
      </c>
      <c r="L275" t="s">
        <v>22</v>
      </c>
    </row>
    <row r="276" spans="7:12" x14ac:dyDescent="0.25">
      <c r="G276" t="s">
        <v>488</v>
      </c>
      <c r="H276" t="s">
        <v>87</v>
      </c>
      <c r="I276">
        <v>11</v>
      </c>
      <c r="J276" t="s">
        <v>488</v>
      </c>
      <c r="K276">
        <v>60</v>
      </c>
      <c r="L276" t="s">
        <v>22</v>
      </c>
    </row>
    <row r="277" spans="7:12" x14ac:dyDescent="0.25">
      <c r="G277" t="s">
        <v>492</v>
      </c>
      <c r="H277" t="s">
        <v>87</v>
      </c>
      <c r="I277">
        <v>12</v>
      </c>
      <c r="J277" t="s">
        <v>492</v>
      </c>
      <c r="K277">
        <v>60</v>
      </c>
      <c r="L277" t="s">
        <v>22</v>
      </c>
    </row>
    <row r="278" spans="7:12" x14ac:dyDescent="0.25">
      <c r="G278" t="s">
        <v>493</v>
      </c>
      <c r="H278" t="s">
        <v>87</v>
      </c>
      <c r="I278">
        <v>13</v>
      </c>
      <c r="J278" t="s">
        <v>493</v>
      </c>
      <c r="K278">
        <v>60</v>
      </c>
      <c r="L278" t="s">
        <v>22</v>
      </c>
    </row>
    <row r="279" spans="7:12" x14ac:dyDescent="0.25">
      <c r="G279" t="s">
        <v>495</v>
      </c>
      <c r="H279" t="s">
        <v>87</v>
      </c>
      <c r="I279">
        <v>15</v>
      </c>
      <c r="J279" t="s">
        <v>495</v>
      </c>
      <c r="K279">
        <v>60</v>
      </c>
      <c r="L279" t="s">
        <v>22</v>
      </c>
    </row>
    <row r="280" spans="7:12" x14ac:dyDescent="0.25">
      <c r="G280" t="s">
        <v>496</v>
      </c>
      <c r="H280" t="s">
        <v>87</v>
      </c>
      <c r="I280">
        <v>16</v>
      </c>
      <c r="J280" t="s">
        <v>496</v>
      </c>
      <c r="K280">
        <v>30</v>
      </c>
      <c r="L280" t="s">
        <v>22</v>
      </c>
    </row>
    <row r="281" spans="7:12" x14ac:dyDescent="0.25">
      <c r="G281" t="s">
        <v>497</v>
      </c>
      <c r="H281" t="s">
        <v>87</v>
      </c>
      <c r="I281">
        <v>17</v>
      </c>
      <c r="J281" t="s">
        <v>497</v>
      </c>
      <c r="K281">
        <v>30</v>
      </c>
      <c r="L281" t="s">
        <v>22</v>
      </c>
    </row>
    <row r="282" spans="7:12" x14ac:dyDescent="0.25">
      <c r="G282" t="s">
        <v>498</v>
      </c>
      <c r="H282" t="s">
        <v>87</v>
      </c>
      <c r="I282">
        <v>18</v>
      </c>
      <c r="J282" t="s">
        <v>498</v>
      </c>
      <c r="K282">
        <v>30</v>
      </c>
      <c r="L282" t="s">
        <v>22</v>
      </c>
    </row>
    <row r="283" spans="7:12" x14ac:dyDescent="0.25">
      <c r="G283" t="s">
        <v>499</v>
      </c>
      <c r="H283" t="s">
        <v>87</v>
      </c>
      <c r="I283">
        <v>19</v>
      </c>
      <c r="J283" t="s">
        <v>499</v>
      </c>
      <c r="K283">
        <v>30</v>
      </c>
      <c r="L283" t="s">
        <v>22</v>
      </c>
    </row>
    <row r="284" spans="7:12" x14ac:dyDescent="0.25">
      <c r="G284" t="s">
        <v>500</v>
      </c>
      <c r="H284" t="s">
        <v>87</v>
      </c>
      <c r="I284">
        <v>20</v>
      </c>
      <c r="J284" t="s">
        <v>500</v>
      </c>
      <c r="K284">
        <v>30</v>
      </c>
      <c r="L284" t="s">
        <v>22</v>
      </c>
    </row>
    <row r="285" spans="7:12" x14ac:dyDescent="0.25">
      <c r="G285" t="s">
        <v>572</v>
      </c>
      <c r="H285" t="s">
        <v>568</v>
      </c>
      <c r="I285">
        <v>5</v>
      </c>
      <c r="J285" t="s">
        <v>572</v>
      </c>
      <c r="K285">
        <v>30</v>
      </c>
      <c r="L285" t="s">
        <v>22</v>
      </c>
    </row>
    <row r="286" spans="7:12" x14ac:dyDescent="0.25">
      <c r="G286" t="s">
        <v>573</v>
      </c>
      <c r="H286" t="s">
        <v>568</v>
      </c>
      <c r="I286">
        <v>6</v>
      </c>
      <c r="J286" t="s">
        <v>573</v>
      </c>
      <c r="K286">
        <v>30</v>
      </c>
      <c r="L286" t="s">
        <v>22</v>
      </c>
    </row>
    <row r="287" spans="7:12" x14ac:dyDescent="0.25">
      <c r="G287" t="s">
        <v>574</v>
      </c>
      <c r="H287" t="s">
        <v>568</v>
      </c>
      <c r="I287">
        <v>7</v>
      </c>
      <c r="J287" t="s">
        <v>574</v>
      </c>
      <c r="K287">
        <v>30</v>
      </c>
      <c r="L287" t="s">
        <v>22</v>
      </c>
    </row>
    <row r="288" spans="7:12" x14ac:dyDescent="0.25">
      <c r="G288" t="s">
        <v>575</v>
      </c>
      <c r="H288" t="s">
        <v>568</v>
      </c>
      <c r="I288">
        <v>8</v>
      </c>
      <c r="J288" t="s">
        <v>575</v>
      </c>
      <c r="K288">
        <v>30</v>
      </c>
      <c r="L288" t="s">
        <v>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C42"/>
  <sheetViews>
    <sheetView topLeftCell="CS1" workbookViewId="0">
      <selection activeCell="DC2" sqref="DC2:DC5"/>
    </sheetView>
  </sheetViews>
  <sheetFormatPr defaultRowHeight="15" x14ac:dyDescent="0.25"/>
  <cols>
    <col min="2" max="2" width="4.85546875" customWidth="1"/>
    <col min="3" max="3" width="36.140625" bestFit="1" customWidth="1"/>
    <col min="7" max="7" width="36.140625" bestFit="1" customWidth="1"/>
    <col min="11" max="11" width="36.140625" bestFit="1" customWidth="1"/>
    <col min="15" max="15" width="36.140625" bestFit="1" customWidth="1"/>
    <col min="19" max="19" width="36.140625" bestFit="1" customWidth="1"/>
    <col min="23" max="23" width="46" bestFit="1" customWidth="1"/>
    <col min="27" max="27" width="50.5703125" bestFit="1" customWidth="1"/>
    <col min="31" max="31" width="56.7109375" bestFit="1" customWidth="1"/>
    <col min="35" max="35" width="30.42578125" bestFit="1" customWidth="1"/>
    <col min="39" max="39" width="37" bestFit="1" customWidth="1"/>
    <col min="43" max="43" width="45.42578125" bestFit="1" customWidth="1"/>
    <col min="47" max="47" width="55.5703125" bestFit="1" customWidth="1"/>
    <col min="51" max="51" width="54.5703125" bestFit="1" customWidth="1"/>
    <col min="55" max="55" width="43.28515625" bestFit="1" customWidth="1"/>
    <col min="59" max="59" width="40.28515625" bestFit="1" customWidth="1"/>
    <col min="63" max="63" width="43.85546875" bestFit="1" customWidth="1"/>
    <col min="67" max="67" width="39.5703125" bestFit="1" customWidth="1"/>
    <col min="71" max="71" width="33.140625" bestFit="1" customWidth="1"/>
    <col min="75" max="75" width="39.5703125" bestFit="1" customWidth="1"/>
    <col min="79" max="79" width="30.7109375" bestFit="1" customWidth="1"/>
    <col min="83" max="83" width="39.5703125" bestFit="1" customWidth="1"/>
    <col min="87" max="87" width="43.85546875" bestFit="1" customWidth="1"/>
    <col min="91" max="91" width="30.85546875" bestFit="1" customWidth="1"/>
    <col min="95" max="95" width="47.140625" bestFit="1" customWidth="1"/>
    <col min="99" max="99" width="34.5703125" bestFit="1" customWidth="1"/>
    <col min="103" max="103" width="51.42578125" bestFit="1" customWidth="1"/>
  </cols>
  <sheetData>
    <row r="1" spans="1:107" x14ac:dyDescent="0.25">
      <c r="A1" t="s">
        <v>517</v>
      </c>
      <c r="E1" t="s">
        <v>146</v>
      </c>
      <c r="I1" t="s">
        <v>148</v>
      </c>
      <c r="M1" t="s">
        <v>149</v>
      </c>
      <c r="Q1" t="s">
        <v>150</v>
      </c>
      <c r="U1" t="s">
        <v>151</v>
      </c>
      <c r="Y1" t="s">
        <v>53</v>
      </c>
      <c r="AC1" t="s">
        <v>518</v>
      </c>
      <c r="AG1" t="s">
        <v>526</v>
      </c>
      <c r="AK1" t="s">
        <v>527</v>
      </c>
      <c r="AO1" t="s">
        <v>269</v>
      </c>
      <c r="AS1" t="s">
        <v>521</v>
      </c>
      <c r="AW1" t="s">
        <v>69</v>
      </c>
      <c r="BA1" t="s">
        <v>522</v>
      </c>
      <c r="BE1" t="s">
        <v>73</v>
      </c>
      <c r="BI1" t="s">
        <v>426</v>
      </c>
      <c r="BM1" t="s">
        <v>427</v>
      </c>
      <c r="BQ1" t="s">
        <v>428</v>
      </c>
      <c r="BU1" t="s">
        <v>429</v>
      </c>
      <c r="BY1" t="s">
        <v>529</v>
      </c>
      <c r="CC1" t="s">
        <v>530</v>
      </c>
      <c r="CG1" t="s">
        <v>430</v>
      </c>
      <c r="CK1" t="s">
        <v>431</v>
      </c>
      <c r="CO1" t="s">
        <v>531</v>
      </c>
      <c r="CS1" t="s">
        <v>82</v>
      </c>
      <c r="CW1" t="s">
        <v>532</v>
      </c>
      <c r="DA1" t="s">
        <v>568</v>
      </c>
    </row>
    <row r="2" spans="1:107" x14ac:dyDescent="0.25">
      <c r="A2" t="s">
        <v>113</v>
      </c>
      <c r="B2">
        <f>IF(OR(COUNTIF(Cert!$E$20:$E$83,A2)&gt;=1,COUNTIF(Cert!$E$20:$E$83,A8)&gt;=1,COUNTIF(Cert!$E$20:$E$83,A10)&gt;=1),"",ROW())</f>
        <v>2</v>
      </c>
      <c r="C2" t="str">
        <f>IF(ROW(A2)-ROW(A$2)+1&gt;COUNT(B$2:B$50),"",INDEX(A:A,SMALL(B$2:B$50,1+ROW(A2)-ROW(A$2))))</f>
        <v>Communicating Ideas in 2D</v>
      </c>
      <c r="E2" t="s">
        <v>113</v>
      </c>
      <c r="F2">
        <f>IF(COUNTIF(Cert!$E$20:$E$83,E2)&gt;=1,"",ROW())</f>
        <v>2</v>
      </c>
      <c r="G2" t="str">
        <f t="shared" ref="G2" si="0">IF(ROW(E2)-ROW(E$2)+1&gt;COUNT(F$2:F$50),"",INDEX(E:E,SMALL(F$2:F$50,1+ROW(E2)-ROW(E$2))))</f>
        <v>Communicating Ideas in 2D</v>
      </c>
      <c r="I2" t="s">
        <v>113</v>
      </c>
      <c r="J2">
        <f>IF(COUNTIF(Cert!$E$20:$E$83,I2)&gt;=1,"",ROW())</f>
        <v>2</v>
      </c>
      <c r="K2" t="str">
        <f t="shared" ref="K2" si="1">IF(ROW(I2)-ROW(I$2)+1&gt;COUNT(J$2:J$50),"",INDEX(I:I,SMALL(J$2:J$50,1+ROW(I2)-ROW(I$2))))</f>
        <v>Communicating Ideas in 2D</v>
      </c>
      <c r="M2" t="s">
        <v>113</v>
      </c>
      <c r="N2">
        <f>IF(OR(COUNTIF(Cert!$E$20:$E$83,M2)&gt;=1,COUNTIF(Cert!$E$20:$E$83,M7)&gt;=1),"",ROW())</f>
        <v>2</v>
      </c>
      <c r="O2" t="str">
        <f t="shared" ref="O2" si="2">IF(ROW(M2)-ROW(M$2)+1&gt;COUNT(N$2:N$50),"",INDEX(M:M,SMALL(N$2:N$50,1+ROW(M2)-ROW(M$2))))</f>
        <v>Communicating Ideas in 2D</v>
      </c>
      <c r="Q2" t="s">
        <v>108</v>
      </c>
      <c r="R2">
        <f>IF(COUNTIF(Cert!$E$20:$E$83,Q2)&gt;=1,"",ROW())</f>
        <v>2</v>
      </c>
      <c r="S2" t="str">
        <f t="shared" ref="S2" si="3">IF(ROW(Q2)-ROW(Q$2)+1&gt;COUNT(R$2:R$50),"",INDEX(Q:Q,SMALL(R$2:R$50,1+ROW(Q2)-ROW(Q$2))))</f>
        <v>Developing an Art and Design Portfolio</v>
      </c>
      <c r="U2" t="s">
        <v>114</v>
      </c>
      <c r="V2">
        <f>IF(OR(COUNTIF(Cert!$E$20:$E$83,U2)&gt;=1,COUNTIF(Cert!$E$20:$E$83,U6)&gt;=1,COUNTIF(Cert!$E$20:$E$83,U21)&gt;=1),"",ROW())</f>
        <v>2</v>
      </c>
      <c r="W2" t="str">
        <f t="shared" ref="W2" si="4">IF(ROW(U2)-ROW(U$2)+1&gt;COUNT(V$2:V$50),"",INDEX(U:U,SMALL(V$2:V$50,1+ROW(U2)-ROW(U$2))))</f>
        <v>Communicating Ideas in 3D</v>
      </c>
      <c r="Y2" t="s">
        <v>154</v>
      </c>
      <c r="Z2">
        <f>IF(COUNTIF(Cert!$E$20:$E$83,Y2)&gt;=1,"",ROW())</f>
        <v>2</v>
      </c>
      <c r="AA2" t="str">
        <f t="shared" ref="AA2" si="5">IF(ROW(Y2)-ROW(Y$2)+1&gt;COUNT(Z$2:Z$50),"",INDEX(Y:Y,SMALL(Z$2:Z$50,1+ROW(Y2)-ROW(Y$2))))</f>
        <v>Promoting a Brand</v>
      </c>
      <c r="AC2" t="s">
        <v>187</v>
      </c>
      <c r="AD2">
        <f>IF(COUNTIF(Cert!$E$20:$E$83,AC2)&gt;=1,"",ROW())</f>
        <v>2</v>
      </c>
      <c r="AE2" t="str">
        <f t="shared" ref="AE2" si="6">IF(ROW(AC2)-ROW(AC$2)+1&gt;COUNT(AD$2:AD$50),"",INDEX(AC:AC,SMALL(AD$2:AD$50,1+ROW(AC2)-ROW(AC$2))))</f>
        <v>Construction Processes and Operations</v>
      </c>
      <c r="AG2" t="s">
        <v>217</v>
      </c>
      <c r="AH2">
        <f>IF(COUNTIF(Cert!$E$20:$E$83,AG2)&gt;=1,"",ROW())</f>
        <v>2</v>
      </c>
      <c r="AI2" t="str">
        <f t="shared" ref="AI2" si="7">IF(ROW(AG2)-ROW(AG$2)+1&gt;COUNT(AH$2:AH$50),"",INDEX(AG:AG,SMALL(AH$2:AH$50,1+ROW(AG2)-ROW(AG$2))))</f>
        <v>Digital Moving Image Production</v>
      </c>
      <c r="AK2" t="s">
        <v>222</v>
      </c>
      <c r="AL2">
        <f>IF(COUNTIF(Cert!$E$20:$E$83,AK2)&gt;=1,"",ROW())</f>
        <v>2</v>
      </c>
      <c r="AM2" t="str">
        <f t="shared" ref="AM2" si="8">IF(ROW(AK2)-ROW(AK$2)+1&gt;COUNT(AL$2:AL$50),"",INDEX(AK:AK,SMALL(AL$2:AL$50,1+ROW(AK2)-ROW(AK$2))))</f>
        <v>Digital Editing for Moving Image</v>
      </c>
      <c r="AO2" t="s">
        <v>236</v>
      </c>
      <c r="AP2">
        <f>IF(COUNTIF(Cert!$E$20:$E$83,AO2)&gt;=1,"",ROW())</f>
        <v>2</v>
      </c>
      <c r="AQ2" t="str">
        <f t="shared" ref="AQ2" si="9">IF(ROW(AO2)-ROW(AO$2)+1&gt;COUNT(AP$2:AP$50),"",INDEX(AO:AO,SMALL(AP$2:AP$50,1+ROW(AO2)-ROW(AO$2))))</f>
        <v>Health and Safety in Engineering</v>
      </c>
      <c r="AS2" t="s">
        <v>294</v>
      </c>
      <c r="AT2">
        <f>IF(COUNTIF(Cert!$E$20:$E$83,AS2)&gt;=1,"",ROW())</f>
        <v>2</v>
      </c>
      <c r="AU2" t="str">
        <f t="shared" ref="AU2" si="10">IF(ROW(AS2)-ROW(AS$2)+1&gt;COUNT(AT$2:AT$50),"",INDEX(AS:AS,SMALL(AT$2:AT$50,1+ROW(AS2)-ROW(AS$2))))</f>
        <v>Social Influences on Health and Wellbeing</v>
      </c>
      <c r="AW2" t="s">
        <v>310</v>
      </c>
      <c r="AX2">
        <f>IF(COUNTIF(Cert!$E$20:$E$83,AW2)&gt;=1,"",ROW())</f>
        <v>2</v>
      </c>
      <c r="AY2" t="str">
        <f t="shared" ref="AY2" si="11">IF(ROW(AW2)-ROW(AW$2)+1&gt;COUNT(AX$2:AX$50),"",INDEX(AW:AW,SMALL(AX$2:AX$50,1+ROW(AW2)-ROW(AW$2))))</f>
        <v>Costing and Controlling Finances in the Hospitality Industry</v>
      </c>
      <c r="BA2" t="s">
        <v>344</v>
      </c>
      <c r="BB2">
        <f>IF(COUNTIF(Cert!$E$20:$E$83,BA2)&gt;=1,"",ROW())</f>
        <v>2</v>
      </c>
      <c r="BC2" t="str">
        <f t="shared" ref="BC2" si="12">IF(ROW(BA2)-ROW(BA$2)+1&gt;COUNT(BB$2:BB$50),"",INDEX(BA:BA,SMALL(BB$2:BB$50,1+ROW(BA2)-ROW(BA$2))))</f>
        <v>Creating Digital Animation</v>
      </c>
      <c r="BE2" t="s">
        <v>362</v>
      </c>
      <c r="BF2">
        <f>IF(COUNTIF(Cert!$E$20:$E$83,BE2)&gt;=1,"",ROW())</f>
        <v>2</v>
      </c>
      <c r="BG2" t="str">
        <f t="shared" ref="BG2" si="13">IF(ROW(BE2)-ROW(BE$2)+1&gt;COUNT(BF$2:BF$50),"",INDEX(BE:BE,SMALL(BF$2:BF$50,1+ROW(BE2)-ROW(BE$2))))</f>
        <v>Introducing Live Sound</v>
      </c>
      <c r="BI2" t="s">
        <v>387</v>
      </c>
      <c r="BJ2">
        <f>IF(COUNTIF(Cert!$E$20:$E$83,BI2)&gt;=1,"",ROW())</f>
        <v>2</v>
      </c>
      <c r="BK2" t="str">
        <f t="shared" ref="BK2" si="14">IF(ROW(BI2)-ROW(BI$2)+1&gt;COUNT(BJ$2:BJ$50),"",INDEX(BI:BI,SMALL(BJ$2:BJ$50,1+ROW(BI2)-ROW(BI$2))))</f>
        <v>Performance in Context</v>
      </c>
      <c r="BM2" t="s">
        <v>401</v>
      </c>
      <c r="BN2">
        <f>IF(COUNTIF(Cert!$E$20:$E$83,BM2)&gt;=1,"",ROW())</f>
        <v>2</v>
      </c>
      <c r="BO2" t="str">
        <f t="shared" ref="BO2" si="15">IF(ROW(BM2)-ROW(BM$2)+1&gt;COUNT(BN$2:BN$50),"",INDEX(BM:BM,SMALL(BN$2:BN$50,1+ROW(BM2)-ROW(BM$2))))</f>
        <v>Contemporary Dance Techniques</v>
      </c>
      <c r="BQ2" t="s">
        <v>387</v>
      </c>
      <c r="BR2">
        <f>IF(COUNTIF(Cert!$E$20:$E$83,BQ2)&gt;=1,"",ROW())</f>
        <v>2</v>
      </c>
      <c r="BS2" t="str">
        <f t="shared" ref="BS2" si="16">IF(ROW(BQ2)-ROW(BQ$2)+1&gt;COUNT(BR$2:BR$50),"",INDEX(BQ:BQ,SMALL(BR$2:BR$50,1+ROW(BQ2)-ROW(BQ$2))))</f>
        <v>Performance in Context</v>
      </c>
      <c r="BU2" t="s">
        <v>399</v>
      </c>
      <c r="BV2">
        <f>IF(COUNTIF(Cert!$E$20:$E$83,BU2)&gt;=1,"",ROW())</f>
        <v>2</v>
      </c>
      <c r="BW2" t="str">
        <f t="shared" ref="BW2" si="17">IF(ROW(BU2)-ROW(BU$2)+1&gt;COUNT(BV$2:BV$50),"",INDEX(BU:BU,SMALL(BV$2:BV$50,1+ROW(BU2)-ROW(BU$2))))</f>
        <v>Voice and Speech for Performers</v>
      </c>
      <c r="BY2" t="s">
        <v>387</v>
      </c>
      <c r="BZ2">
        <f>IF(COUNTIF(Cert!$E$20:$E$83,BY2)&gt;=1,"",ROW())</f>
        <v>2</v>
      </c>
      <c r="CA2" t="str">
        <f t="shared" ref="CA2" si="18">IF(ROW(BY2)-ROW(BY$2)+1&gt;COUNT(BZ$2:BZ$50),"",INDEX(BY:BY,SMALL(BZ$2:BZ$50,1+ROW(BY2)-ROW(BY$2))))</f>
        <v>Performance in Context</v>
      </c>
      <c r="CC2" t="s">
        <v>400</v>
      </c>
      <c r="CD2">
        <f>IF(COUNTIF(Cert!$E$20:$E$83,CC2)&gt;=1,"",ROW())</f>
        <v>2</v>
      </c>
      <c r="CE2" t="str">
        <f t="shared" ref="CE2" si="19">IF(ROW(CC2)-ROW(CC$2)+1&gt;COUNT(CD$2:CD$50),"",INDEX(CC:CC,SMALL(CD$2:CD$50,1+ROW(CC2)-ROW(CC$2))))</f>
        <v>Performing Scripted Plays</v>
      </c>
      <c r="CG2" t="s">
        <v>387</v>
      </c>
      <c r="CH2">
        <f>IF(COUNTIF(Cert!$E$20:$E$83,CG2)&gt;=1,"",ROW())</f>
        <v>2</v>
      </c>
      <c r="CI2" t="str">
        <f t="shared" ref="CI2" si="20">IF(ROW(CG2)-ROW(CG$2)+1&gt;COUNT(CH$2:CH$50),"",INDEX(CG:CG,SMALL(CH$2:CH$50,1+ROW(CG2)-ROW(CG$2))))</f>
        <v>Performance in Context</v>
      </c>
      <c r="CK2" t="s">
        <v>396</v>
      </c>
      <c r="CL2">
        <f>IF(COUNTIF(Cert!$E$20:$E$83,CK2)&gt;=1,"",ROW())</f>
        <v>2</v>
      </c>
      <c r="CM2" t="str">
        <f t="shared" ref="CM2" si="21">IF(ROW(CK2)-ROW(CK$2)+1&gt;COUNT(CL$2:CL$50),"",INDEX(CK:CK,SMALL(CL$2:CL$50,1+ROW(CK2)-ROW(CK$2))))</f>
        <v>Devising Performance Work</v>
      </c>
      <c r="CO2" t="s">
        <v>438</v>
      </c>
      <c r="CP2">
        <f>IF(COUNTIF(Cert!$E$20:$E$83,CO2)&gt;=1,"",ROW())</f>
        <v>2</v>
      </c>
      <c r="CQ2" t="str">
        <f t="shared" ref="CQ2" si="22">IF(ROW(CO2)-ROW(CO$2)+1&gt;COUNT(CP$2:CP$50),"",INDEX(CO:CO,SMALL(CP$2:CP$50,1+ROW(CO2)-ROW(CO$2))))</f>
        <v>Employment in the Public Services</v>
      </c>
      <c r="CS2" t="s">
        <v>455</v>
      </c>
      <c r="CT2">
        <f>IF(COUNTIF(Cert!$E$20:$E$83,CS2)&gt;=1,"",ROW())</f>
        <v>2</v>
      </c>
      <c r="CU2" t="str">
        <f t="shared" ref="CU2" si="23">IF(ROW(CS2)-ROW(CS$2)+1&gt;COUNT(CT$2:CT$50),"",INDEX(CS:CS,SMALL(CT$2:CT$50,1+ROW(CS2)-ROW(CS$2))))</f>
        <v>The Mind and Sports Performance</v>
      </c>
      <c r="CW2" t="s">
        <v>484</v>
      </c>
      <c r="CX2">
        <f>IF(COUNTIF(Cert!$E$20:$E$83,CW2)&gt;=1,"",ROW())</f>
        <v>2</v>
      </c>
      <c r="CY2" t="str">
        <f t="shared" ref="CY2" si="24">IF(ROW(CW2)-ROW(CW$2)+1&gt;COUNT(CX$2:CX$50),"",INDEX(CW:CW,SMALL(CX$2:CX$50,1+ROW(CW2)-ROW(CW$2))))</f>
        <v>The Development of Travel and Tourism in the UK</v>
      </c>
      <c r="DA2" t="s">
        <v>572</v>
      </c>
      <c r="DB2">
        <f>IF(COUNTIF(Cert!$E$20:$E$83,DA2)&gt;=1,"",ROW())</f>
        <v>2</v>
      </c>
      <c r="DC2" t="str">
        <f t="shared" ref="DC2" si="25">IF(ROW(DA2)-ROW(DA$2)+1&gt;COUNT(DB$2:DB$50),"",INDEX(DA:DA,SMALL(DB$2:DB$50,1+ROW(DA2)-ROW(DA$2))))</f>
        <v>Health and Safety in Early Years Settings</v>
      </c>
    </row>
    <row r="3" spans="1:107" x14ac:dyDescent="0.25">
      <c r="A3" t="s">
        <v>114</v>
      </c>
      <c r="B3">
        <f>IF(OR(COUNTIF(Cert!$E$20:$E$83,A3)&gt;=1,COUNTIF(Cert!$E$20:$E$83,A6)&gt;=1,COUNTIF(Cert!$E$20:$E$83,A10)&gt;=1),"",ROW())</f>
        <v>3</v>
      </c>
      <c r="C3" t="str">
        <f t="shared" ref="C3:C12" si="26">IF(ROW(A3)-ROW(A$2)+1&gt;COUNT(B$2:B$50),"",INDEX(A:A,SMALL(B$2:B$50,1+ROW(A3)-ROW(A$2))))</f>
        <v>Communicating Ideas in 3D</v>
      </c>
      <c r="E3" t="s">
        <v>108</v>
      </c>
      <c r="F3">
        <f>IF(COUNTIF(Cert!$E$20:$E$83,E3)&gt;=1,"",ROW())</f>
        <v>3</v>
      </c>
      <c r="G3" t="str">
        <f t="shared" ref="G3:G6" si="27">IF(ROW(E3)-ROW(E$2)+1&gt;COUNT(F$2:F$50),"",INDEX(E:E,SMALL(F$2:F$50,1+ROW(E3)-ROW(E$2))))</f>
        <v>Developing an Art and Design Portfolio</v>
      </c>
      <c r="I3" t="s">
        <v>114</v>
      </c>
      <c r="J3">
        <f>IF(COUNTIF(Cert!$E$20:$E$83,I3)&gt;=1,"",ROW())</f>
        <v>3</v>
      </c>
      <c r="K3" t="str">
        <f t="shared" ref="K3:K10" si="28">IF(ROW(I3)-ROW(I$2)+1&gt;COUNT(J$2:J$50),"",INDEX(I:I,SMALL(J$2:J$50,1+ROW(I3)-ROW(I$2))))</f>
        <v>Communicating Ideas in 3D</v>
      </c>
      <c r="M3" t="s">
        <v>114</v>
      </c>
      <c r="N3">
        <f>IF(COUNTIF(Cert!$E$20:$E$83,M3)&gt;=1,"",ROW())</f>
        <v>3</v>
      </c>
      <c r="O3" t="str">
        <f t="shared" ref="O3:O8" si="29">IF(ROW(M3)-ROW(M$2)+1&gt;COUNT(N$2:N$50),"",INDEX(M:M,SMALL(N$2:N$50,1+ROW(M3)-ROW(M$2))))</f>
        <v>Communicating Ideas in 3D</v>
      </c>
      <c r="Q3" t="s">
        <v>115</v>
      </c>
      <c r="R3">
        <f>IF(COUNTIF(Cert!$E$20:$E$83,Q3)&gt;=1,"",ROW())</f>
        <v>3</v>
      </c>
      <c r="S3" t="str">
        <f t="shared" ref="S3:S12" si="30">IF(ROW(Q3)-ROW(Q$2)+1&gt;COUNT(R$2:R$50),"",INDEX(Q:Q,SMALL(R$2:R$50,1+ROW(Q3)-ROW(Q$2))))</f>
        <v>Using Mobile Devices in Art and Design</v>
      </c>
      <c r="U3" t="s">
        <v>108</v>
      </c>
      <c r="V3">
        <f>IF(COUNTIF(Cert!$E$20:$E$83,U3)&gt;=1,"",ROW())</f>
        <v>3</v>
      </c>
      <c r="W3" t="str">
        <f t="shared" ref="W3:W21" si="31">IF(ROW(U3)-ROW(U$2)+1&gt;COUNT(V$2:V$50),"",INDEX(U:U,SMALL(V$2:V$50,1+ROW(U3)-ROW(U$2))))</f>
        <v>Developing an Art and Design Portfolio</v>
      </c>
      <c r="Y3" t="s">
        <v>158</v>
      </c>
      <c r="Z3">
        <f>IF(COUNTIF(Cert!$E$20:$E$83,Y3)&gt;=1,"",ROW())</f>
        <v>3</v>
      </c>
      <c r="AA3" t="str">
        <f t="shared" ref="AA3:AA30" si="32">IF(ROW(Y3)-ROW(Y$2)+1&gt;COUNT(Z$2:Z$50),"",INDEX(Y:Y,SMALL(Z$2:Z$50,1+ROW(Y3)-ROW(Y$2))))</f>
        <v>Principles of Customer Services</v>
      </c>
      <c r="AC3" t="s">
        <v>190</v>
      </c>
      <c r="AD3">
        <f>IF(COUNTIF(Cert!$E$20:$E$83,AC3)&gt;=1,"",ROW())</f>
        <v>3</v>
      </c>
      <c r="AE3" t="str">
        <f t="shared" ref="AE3:AE17" si="33">IF(ROW(AC3)-ROW(AC$2)+1&gt;COUNT(AD$2:AD$50),"",INDEX(AC:AC,SMALL(AD$2:AD$50,1+ROW(AC3)-ROW(AC$2))))</f>
        <v>Construction Drawing Techniques</v>
      </c>
      <c r="AG3" t="s">
        <v>218</v>
      </c>
      <c r="AH3">
        <f>IF(COUNTIF(Cert!$E$20:$E$83,AG3)&gt;=1,"",ROW())</f>
        <v>3</v>
      </c>
      <c r="AI3" t="str">
        <f t="shared" ref="AI3:AI6" si="34">IF(ROW(AG3)-ROW(AG$2)+1&gt;COUNT(AH$2:AH$50),"",INDEX(AG:AG,SMALL(AH$2:AH$50,1+ROW(AG3)-ROW(AG$2))))</f>
        <v>Digital Audio Production</v>
      </c>
      <c r="AK3" t="s">
        <v>223</v>
      </c>
      <c r="AL3">
        <f>IF(COUNTIF(Cert!$E$20:$E$83,AK3)&gt;=1,"",ROW())</f>
        <v>3</v>
      </c>
      <c r="AM3" t="str">
        <f t="shared" ref="AM3:AM8" si="35">IF(ROW(AK3)-ROW(AK$2)+1&gt;COUNT(AL$2:AL$50),"",INDEX(AK:AK,SMALL(AL$2:AL$50,1+ROW(AK3)-ROW(AK$2))))</f>
        <v>Digital Photography for a Media Product</v>
      </c>
      <c r="AO3" t="s">
        <v>66</v>
      </c>
      <c r="AP3">
        <f>IF(COUNTIF(Cert!$E$20:$E$83,AO3)&gt;=1,"",ROW())</f>
        <v>3</v>
      </c>
      <c r="AQ3" t="str">
        <f t="shared" ref="AQ3:AQ11" si="36">IF(ROW(AO3)-ROW(AO$2)+1&gt;COUNT(AP$2:AP$50),"",INDEX(AO:AO,SMALL(AP$2:AP$50,1+ROW(AO3)-ROW(AO$2))))</f>
        <v>Engineering Maintenance</v>
      </c>
      <c r="AS3" t="s">
        <v>295</v>
      </c>
      <c r="AT3">
        <f>IF(COUNTIF(Cert!$E$20:$E$83,AS3)&gt;=1,"",ROW())</f>
        <v>3</v>
      </c>
      <c r="AU3" t="str">
        <f t="shared" ref="AU3:AU9" si="37">IF(ROW(AS3)-ROW(AS$2)+1&gt;COUNT(AT$2:AT$50),"",INDEX(AS:AS,SMALL(AT$2:AT$50,1+ROW(AS3)-ROW(AS$2))))</f>
        <v>Promoting Health and Wellbeing</v>
      </c>
      <c r="AW3" t="s">
        <v>311</v>
      </c>
      <c r="AX3">
        <f>IF(COUNTIF(Cert!$E$20:$E$83,AW3)&gt;=1,"",ROW())</f>
        <v>3</v>
      </c>
      <c r="AY3" t="str">
        <f t="shared" ref="AY3:AY17" si="38">IF(ROW(AW3)-ROW(AW$2)+1&gt;COUNT(AX$2:AX$50),"",INDEX(AW:AW,SMALL(AX$2:AX$50,1+ROW(AW3)-ROW(AW$2))))</f>
        <v>Enterprise in the Hospitality Industry</v>
      </c>
      <c r="BA3" t="s">
        <v>345</v>
      </c>
      <c r="BB3">
        <f>IF(COUNTIF(Cert!$E$20:$E$83,BA3)&gt;=1,"",ROW())</f>
        <v>3</v>
      </c>
      <c r="BC3" t="str">
        <f t="shared" ref="BC3:BC23" si="39">IF(ROW(BA3)-ROW(BA$2)+1&gt;COUNT(BB$2:BB$50),"",INDEX(BA:BA,SMALL(BB$2:BB$50,1+ROW(BA3)-ROW(BA$2))))</f>
        <v>Creating Digital Audio</v>
      </c>
      <c r="BE3" t="s">
        <v>363</v>
      </c>
      <c r="BF3">
        <f>IF(COUNTIF(Cert!$E$20:$E$83,BE3)&gt;=1,"",ROW())</f>
        <v>3</v>
      </c>
      <c r="BG3" t="str">
        <f t="shared" ref="BG3:BG26" si="40">IF(ROW(BE3)-ROW(BE$2)+1&gt;COUNT(BF$2:BF$50),"",INDEX(BE:BE,SMALL(BF$2:BF$50,1+ROW(BE3)-ROW(BE$2))))</f>
        <v>Introducing Music Composition</v>
      </c>
      <c r="BI3" t="s">
        <v>395</v>
      </c>
      <c r="BJ3">
        <f>IF(COUNTIF(Cert!$E$20:$E$83,BI3)&gt;=1,"",ROW())</f>
        <v>3</v>
      </c>
      <c r="BK3" t="str">
        <f t="shared" ref="BK3:BK15" si="41">IF(ROW(BI3)-ROW(BI$2)+1&gt;COUNT(BJ$2:BJ$50),"",INDEX(BI:BI,SMALL(BJ$2:BJ$50,1+ROW(BI3)-ROW(BI$2))))</f>
        <v>Movement Skills</v>
      </c>
      <c r="BM3" t="s">
        <v>402</v>
      </c>
      <c r="BN3">
        <f>IF(COUNTIF(Cert!$E$20:$E$83,BM3)&gt;=1,"",ROW())</f>
        <v>3</v>
      </c>
      <c r="BO3" t="str">
        <f t="shared" ref="BO3:BO15" si="42">IF(ROW(BM3)-ROW(BM$2)+1&gt;COUNT(BN$2:BN$50),"",INDEX(BM:BM,SMALL(BN$2:BN$50,1+ROW(BM3)-ROW(BM$2))))</f>
        <v>Exploring Urban Dance Styles</v>
      </c>
      <c r="BQ3" t="s">
        <v>395</v>
      </c>
      <c r="BR3">
        <f>IF(COUNTIF(Cert!$E$20:$E$83,BQ3)&gt;=1,"",ROW())</f>
        <v>3</v>
      </c>
      <c r="BS3" t="str">
        <f t="shared" ref="BS3:BS11" si="43">IF(ROW(BQ3)-ROW(BQ$2)+1&gt;COUNT(BR$2:BR$50),"",INDEX(BQ:BQ,SMALL(BR$2:BR$50,1+ROW(BQ3)-ROW(BQ$2))))</f>
        <v>Movement Skills</v>
      </c>
      <c r="BU3" t="s">
        <v>400</v>
      </c>
      <c r="BV3">
        <f>IF(COUNTIF(Cert!$E$20:$E$83,BU3)&gt;=1,"",ROW())</f>
        <v>3</v>
      </c>
      <c r="BW3" t="str">
        <f t="shared" ref="BW3:BW14" si="44">IF(ROW(BU3)-ROW(BU$2)+1&gt;COUNT(BV$2:BV$50),"",INDEX(BU:BU,SMALL(BV$2:BV$50,1+ROW(BU3)-ROW(BU$2))))</f>
        <v>Performing Scripted Plays</v>
      </c>
      <c r="BY3" t="s">
        <v>395</v>
      </c>
      <c r="BZ3">
        <f>IF(COUNTIF(Cert!$E$20:$E$83,BY3)&gt;=1,"",ROW())</f>
        <v>3</v>
      </c>
      <c r="CA3" t="str">
        <f t="shared" ref="CA3:CA5" si="45">IF(ROW(BY3)-ROW(BY$2)+1&gt;COUNT(BZ$2:BZ$50),"",INDEX(BY:BY,SMALL(BZ$2:BZ$50,1+ROW(BY3)-ROW(BY$2))))</f>
        <v>Movement Skills</v>
      </c>
      <c r="CC3" t="s">
        <v>401</v>
      </c>
      <c r="CD3">
        <f>IF(COUNTIF(Cert!$E$20:$E$83,CC3)&gt;=1,"",ROW())</f>
        <v>3</v>
      </c>
      <c r="CE3" t="str">
        <f t="shared" ref="CE3:CE14" si="46">IF(ROW(CC3)-ROW(CC$2)+1&gt;COUNT(CD$2:CD$50),"",INDEX(CC:CC,SMALL(CD$2:CD$50,1+ROW(CC3)-ROW(CC$2))))</f>
        <v>Contemporary Dance Techniques</v>
      </c>
      <c r="CG3" t="s">
        <v>404</v>
      </c>
      <c r="CH3">
        <f>IF(COUNTIF(Cert!$E$20:$E$83,CG3)&gt;=1,"",ROW())</f>
        <v>3</v>
      </c>
      <c r="CI3" t="str">
        <f t="shared" ref="CI3:CI19" si="47">IF(ROW(CG3)-ROW(CG$2)+1&gt;COUNT(CH$2:CH$50),"",INDEX(CG:CG,SMALL(CH$2:CH$50,1+ROW(CG3)-ROW(CG$2))))</f>
        <v>Design Planning for Performance</v>
      </c>
      <c r="CK3" t="s">
        <v>398</v>
      </c>
      <c r="CL3">
        <f>IF(COUNTIF(Cert!$E$20:$E$83,CK3)&gt;=1,"",ROW())</f>
        <v>3</v>
      </c>
      <c r="CM3" t="str">
        <f t="shared" ref="CM3:CM8" si="48">IF(ROW(CK3)-ROW(CK$2)+1&gt;COUNT(CL$2:CL$50),"",INDEX(CK:CK,SMALL(CL$2:CL$50,1+ROW(CK3)-ROW(CK$2))))</f>
        <v>Multimedia Performance</v>
      </c>
      <c r="CO3" t="s">
        <v>439</v>
      </c>
      <c r="CP3">
        <f>IF(COUNTIF(Cert!$E$20:$E$83,CO3)&gt;=1,"",ROW())</f>
        <v>3</v>
      </c>
      <c r="CQ3" t="str">
        <f t="shared" ref="CQ3:CQ18" si="49">IF(ROW(CO3)-ROW(CO$2)+1&gt;COUNT(CP$2:CP$50),"",INDEX(CO:CO,SMALL(CP$2:CP$50,1+ROW(CO3)-ROW(CO$2))))</f>
        <v>Public Services and Community Protection</v>
      </c>
      <c r="CS3" t="s">
        <v>456</v>
      </c>
      <c r="CT3">
        <f>IF(COUNTIF(Cert!$E$20:$E$83,CS3)&gt;=1,"",ROW())</f>
        <v>3</v>
      </c>
      <c r="CU3" t="str">
        <f t="shared" ref="CU3:CU11" si="50">IF(ROW(CS3)-ROW(CS$2)+1&gt;COUNT(CT$2:CT$50),"",INDEX(CS:CS,SMALL(CT$2:CT$50,1+ROW(CS3)-ROW(CS$2))))</f>
        <v>The Sports Performer in Action</v>
      </c>
      <c r="CW3" t="s">
        <v>486</v>
      </c>
      <c r="CX3">
        <f>IF(COUNTIF(Cert!$E$20:$E$83,CW3)&gt;=1,"",ROW())</f>
        <v>3</v>
      </c>
      <c r="CY3" t="str">
        <f t="shared" ref="CY3:CY16" si="51">IF(ROW(CW3)-ROW(CW$2)+1&gt;COUNT(CX$2:CX$50),"",INDEX(CW:CW,SMALL(CX$2:CX$50,1+ROW(CW3)-ROW(CW$2))))</f>
        <v>Factors Affecting Worldwide Travel and Tourism</v>
      </c>
      <c r="DA3" t="s">
        <v>573</v>
      </c>
      <c r="DB3">
        <f>IF(COUNTIF(Cert!$E$20:$E$83,DA3)&gt;=1,"",ROW())</f>
        <v>3</v>
      </c>
      <c r="DC3" t="str">
        <f t="shared" ref="DC3:DC5" si="52">IF(ROW(DA3)-ROW(DA$2)+1&gt;COUNT(DB$2:DB$50),"",INDEX(DA:DA,SMALL(DB$2:DB$50,1+ROW(DA3)-ROW(DA$2))))</f>
        <v>Supporting Children’s Language and Literacy Development</v>
      </c>
    </row>
    <row r="4" spans="1:107" x14ac:dyDescent="0.25">
      <c r="A4" t="s">
        <v>108</v>
      </c>
      <c r="B4">
        <f>IF(COUNTIF(Cert!$E$20:$E$83,A4)&gt;=1,"",ROW())</f>
        <v>4</v>
      </c>
      <c r="C4" t="str">
        <f t="shared" si="26"/>
        <v>Developing an Art and Design Portfolio</v>
      </c>
      <c r="E4" t="s">
        <v>117</v>
      </c>
      <c r="F4">
        <f>IF(COUNTIF(Cert!$E$20:$E$83,E4)&gt;=1,"",ROW())</f>
        <v>4</v>
      </c>
      <c r="G4" t="str">
        <f t="shared" si="27"/>
        <v>Fashion Briefs</v>
      </c>
      <c r="I4" t="s">
        <v>108</v>
      </c>
      <c r="J4">
        <f>IF(COUNTIF(Cert!$E$20:$E$83,I4)&gt;=1,"",ROW())</f>
        <v>4</v>
      </c>
      <c r="K4" t="str">
        <f t="shared" si="28"/>
        <v>Developing an Art and Design Portfolio</v>
      </c>
      <c r="M4" t="s">
        <v>108</v>
      </c>
      <c r="N4">
        <f>IF(COUNTIF(Cert!$E$20:$E$83,M4)&gt;=1,"",ROW())</f>
        <v>4</v>
      </c>
      <c r="O4" t="str">
        <f t="shared" si="29"/>
        <v>Developing an Art and Design Portfolio</v>
      </c>
      <c r="Q4" t="s">
        <v>116</v>
      </c>
      <c r="R4">
        <f>IF(COUNTIF(Cert!$E$20:$E$83,Q4)&gt;=1,"",ROW())</f>
        <v>4</v>
      </c>
      <c r="S4" t="str">
        <f t="shared" si="30"/>
        <v>Design Crafts Briefs</v>
      </c>
      <c r="U4" t="s">
        <v>115</v>
      </c>
      <c r="V4">
        <f>IF(COUNTIF(Cert!$E$20:$E$83,U4)&gt;=1,"",ROW())</f>
        <v>4</v>
      </c>
      <c r="W4" t="str">
        <f t="shared" si="31"/>
        <v>Using Mobile Devices in Art and Design</v>
      </c>
      <c r="Y4" t="s">
        <v>159</v>
      </c>
      <c r="Z4">
        <f>IF(COUNTIF(Cert!$E$20:$E$83,Y4)&gt;=1,"",ROW())</f>
        <v>4</v>
      </c>
      <c r="AA4" t="str">
        <f t="shared" si="32"/>
        <v>Sales and Personal Selling</v>
      </c>
      <c r="AC4" t="s">
        <v>191</v>
      </c>
      <c r="AD4">
        <f>IF(COUNTIF(Cert!$E$20:$E$83,AC4)&gt;=1,"",ROW())</f>
        <v>4</v>
      </c>
      <c r="AE4" t="str">
        <f t="shared" si="33"/>
        <v>Exploring Carpentry and Joinery Principles and Techniques</v>
      </c>
      <c r="AG4" t="s">
        <v>219</v>
      </c>
      <c r="AH4">
        <f>IF(COUNTIF(Cert!$E$20:$E$83,AG4)&gt;=1,"",ROW())</f>
        <v>4</v>
      </c>
      <c r="AI4" t="str">
        <f t="shared" si="34"/>
        <v>Digital Publishing Production</v>
      </c>
      <c r="AK4" t="s">
        <v>224</v>
      </c>
      <c r="AL4">
        <f>IF(COUNTIF(Cert!$E$20:$E$83,AK4)&gt;=1,"",ROW())</f>
        <v>4</v>
      </c>
      <c r="AM4" t="str">
        <f t="shared" si="35"/>
        <v>Animation for Digital Media</v>
      </c>
      <c r="AO4" t="s">
        <v>237</v>
      </c>
      <c r="AP4">
        <f>IF(COUNTIF(Cert!$E$20:$E$83,AO4)&gt;=1,"",ROW())</f>
        <v>4</v>
      </c>
      <c r="AQ4" t="str">
        <f t="shared" si="36"/>
        <v>Engineering Materials</v>
      </c>
      <c r="AS4" t="s">
        <v>296</v>
      </c>
      <c r="AT4">
        <f>IF(COUNTIF(Cert!$E$20:$E$83,AS4)&gt;=1,"",ROW())</f>
        <v>4</v>
      </c>
      <c r="AU4" t="str">
        <f t="shared" si="37"/>
        <v>The Impact of Nutrition on Health and Wellbeing</v>
      </c>
      <c r="AW4" t="s">
        <v>312</v>
      </c>
      <c r="AX4">
        <f>IF(COUNTIF(Cert!$E$20:$E$83,AW4)&gt;=1,"",ROW())</f>
        <v>4</v>
      </c>
      <c r="AY4" t="str">
        <f t="shared" si="38"/>
        <v>Planning, Preparing, Cooking and Finishing Food</v>
      </c>
      <c r="BA4" t="s">
        <v>346</v>
      </c>
      <c r="BB4">
        <f>IF(COUNTIF(Cert!$E$20:$E$83,BA4)&gt;=1,"",ROW())</f>
        <v>4</v>
      </c>
      <c r="BC4" t="str">
        <f t="shared" si="39"/>
        <v>Creating Digital Graphics</v>
      </c>
      <c r="BE4" t="s">
        <v>364</v>
      </c>
      <c r="BF4">
        <f>IF(COUNTIF(Cert!$E$20:$E$83,BE4)&gt;=1,"",ROW())</f>
        <v>4</v>
      </c>
      <c r="BG4" t="str">
        <f t="shared" si="40"/>
        <v>Introducing Music Performance</v>
      </c>
      <c r="BI4" t="s">
        <v>396</v>
      </c>
      <c r="BJ4">
        <f>IF(COUNTIF(Cert!$E$20:$E$83,BI4)&gt;=1,"",ROW())</f>
        <v>4</v>
      </c>
      <c r="BK4" t="str">
        <f t="shared" si="41"/>
        <v>Devising Performance Work</v>
      </c>
      <c r="BM4" t="s">
        <v>403</v>
      </c>
      <c r="BN4">
        <f>IF(COUNTIF(Cert!$E$20:$E$83,BM4)&gt;=1,"",ROW())</f>
        <v>4</v>
      </c>
      <c r="BO4" t="str">
        <f t="shared" si="42"/>
        <v>Jazz Dance Techniques</v>
      </c>
      <c r="BQ4" t="s">
        <v>396</v>
      </c>
      <c r="BR4">
        <f>IF(COUNTIF(Cert!$E$20:$E$83,BQ4)&gt;=1,"",ROW())</f>
        <v>4</v>
      </c>
      <c r="BS4" t="str">
        <f t="shared" si="43"/>
        <v>Devising Performance Work</v>
      </c>
      <c r="BU4" t="s">
        <v>404</v>
      </c>
      <c r="BV4">
        <f>IF(COUNTIF(Cert!$E$20:$E$83,BU4)&gt;=1,"",ROW())</f>
        <v>4</v>
      </c>
      <c r="BW4" t="str">
        <f t="shared" si="44"/>
        <v>Design Planning for Performance</v>
      </c>
      <c r="BY4" t="s">
        <v>396</v>
      </c>
      <c r="BZ4">
        <f>IF(COUNTIF(Cert!$E$20:$E$83,BY4)&gt;=1,"",ROW())</f>
        <v>4</v>
      </c>
      <c r="CA4" t="str">
        <f t="shared" si="45"/>
        <v>Devising Performance Work</v>
      </c>
      <c r="CC4" t="s">
        <v>402</v>
      </c>
      <c r="CD4">
        <f>IF(COUNTIF(Cert!$E$20:$E$83,CC4)&gt;=1,"",ROW())</f>
        <v>4</v>
      </c>
      <c r="CE4" t="str">
        <f t="shared" si="46"/>
        <v>Exploring Urban Dance Styles</v>
      </c>
      <c r="CG4" t="s">
        <v>405</v>
      </c>
      <c r="CH4">
        <f>IF(COUNTIF(Cert!$E$20:$E$83,CG4)&gt;=1,"",ROW())</f>
        <v>4</v>
      </c>
      <c r="CI4" t="str">
        <f t="shared" si="47"/>
        <v>Realising Costume Design for Performance</v>
      </c>
      <c r="CK4" t="s">
        <v>399</v>
      </c>
      <c r="CL4">
        <f>IF(COUNTIF(Cert!$E$20:$E$83,CK4)&gt;=1,"",ROW())</f>
        <v>4</v>
      </c>
      <c r="CM4" t="str">
        <f t="shared" si="48"/>
        <v>Voice and Speech for Performers</v>
      </c>
      <c r="CO4" t="s">
        <v>440</v>
      </c>
      <c r="CP4">
        <f>IF(COUNTIF(Cert!$E$20:$E$83,CO4)&gt;=1,"",ROW())</f>
        <v>4</v>
      </c>
      <c r="CQ4" t="str">
        <f t="shared" si="49"/>
        <v>Health, Fitness and Lifestyle for the Public Services</v>
      </c>
      <c r="CS4" t="s">
        <v>457</v>
      </c>
      <c r="CT4">
        <f>IF(COUNTIF(Cert!$E$20:$E$83,CS4)&gt;=1,"",ROW())</f>
        <v>4</v>
      </c>
      <c r="CU4" t="str">
        <f t="shared" si="50"/>
        <v>Training for Personal Fitness</v>
      </c>
      <c r="CW4" t="s">
        <v>525</v>
      </c>
      <c r="CX4">
        <f>IF(OR(COUNTIF(Cert!$E$20:$E$83,CW4)&gt;=1,COUNTIF(Cert!$E$20:$E$83,CW8)&gt;=1),"",ROW())</f>
        <v>4</v>
      </c>
      <c r="CY4" t="str">
        <f t="shared" si="51"/>
        <v>The Travel and Tourism Customer Experience</v>
      </c>
      <c r="DA4" t="s">
        <v>574</v>
      </c>
      <c r="DB4">
        <f>IF(COUNTIF(Cert!$E$20:$E$83,DA4)&gt;=1,"",ROW())</f>
        <v>4</v>
      </c>
      <c r="DC4" t="str">
        <f t="shared" si="52"/>
        <v>Making Healthy Food Choices for Children</v>
      </c>
    </row>
    <row r="5" spans="1:107" x14ac:dyDescent="0.25">
      <c r="A5" t="s">
        <v>115</v>
      </c>
      <c r="B5">
        <f>IF(COUNTIF(Cert!$E$20:$E$83,A5)&gt;=1,"",ROW())</f>
        <v>5</v>
      </c>
      <c r="C5" t="str">
        <f t="shared" si="26"/>
        <v>Using Mobile Devices in Art and Design</v>
      </c>
      <c r="E5" t="s">
        <v>119</v>
      </c>
      <c r="F5">
        <f>IF(COUNTIF(Cert!$E$20:$E$83,E5)&gt;=1,"",ROW())</f>
        <v>5</v>
      </c>
      <c r="G5" t="str">
        <f t="shared" si="27"/>
        <v>Textiles Briefs</v>
      </c>
      <c r="I5" t="s">
        <v>115</v>
      </c>
      <c r="J5">
        <f>IF(COUNTIF(Cert!$E$20:$E$83,I5)&gt;=1,"",ROW())</f>
        <v>5</v>
      </c>
      <c r="K5" t="str">
        <f t="shared" si="28"/>
        <v>Using Mobile Devices in Art and Design</v>
      </c>
      <c r="M5" t="s">
        <v>115</v>
      </c>
      <c r="N5">
        <f>IF(COUNTIF(Cert!$E$20:$E$83,M5)&gt;=1,"",ROW())</f>
        <v>5</v>
      </c>
      <c r="O5" t="str">
        <f t="shared" si="29"/>
        <v>Using Mobile Devices in Art and Design</v>
      </c>
      <c r="Q5" t="s">
        <v>117</v>
      </c>
      <c r="R5">
        <f>IF(COUNTIF(Cert!$E$20:$E$83,Q5)&gt;=1,"",ROW())</f>
        <v>5</v>
      </c>
      <c r="S5" t="str">
        <f t="shared" si="30"/>
        <v>Fashion Briefs</v>
      </c>
      <c r="U5" t="s">
        <v>117</v>
      </c>
      <c r="V5">
        <f>IF(COUNTIF(Cert!$E$20:$E$83,U5)&gt;=1,"",ROW())</f>
        <v>5</v>
      </c>
      <c r="W5" t="str">
        <f t="shared" si="31"/>
        <v>Fashion Briefs</v>
      </c>
      <c r="Y5" t="s">
        <v>160</v>
      </c>
      <c r="Z5">
        <f>IF(COUNTIF(Cert!$E$20:$E$83,Y5)&gt;=1,"",ROW())</f>
        <v>5</v>
      </c>
      <c r="AA5" t="str">
        <f t="shared" si="32"/>
        <v>Introducing Retail Business</v>
      </c>
      <c r="AC5" t="s">
        <v>192</v>
      </c>
      <c r="AD5">
        <f>IF(COUNTIF(Cert!$E$20:$E$83,AC5)&gt;=1,"",ROW())</f>
        <v>5</v>
      </c>
      <c r="AE5" t="str">
        <f t="shared" si="33"/>
        <v>Exploring Brickwork and Blockwork Principles and Techniques</v>
      </c>
      <c r="AG5" t="s">
        <v>220</v>
      </c>
      <c r="AH5">
        <f>IF(COUNTIF(Cert!$E$20:$E$83,AG5)&gt;=1,"",ROW())</f>
        <v>5</v>
      </c>
      <c r="AI5" t="str">
        <f t="shared" si="34"/>
        <v>Website Production</v>
      </c>
      <c r="AK5" t="s">
        <v>225</v>
      </c>
      <c r="AL5">
        <f>IF(COUNTIF(Cert!$E$20:$E$83,AK5)&gt;=1,"",ROW())</f>
        <v>5</v>
      </c>
      <c r="AM5" t="str">
        <f t="shared" si="35"/>
        <v>Digital Audio Editing</v>
      </c>
      <c r="AO5" t="s">
        <v>247</v>
      </c>
      <c r="AP5">
        <f>IF(COUNTIF(Cert!$E$20:$E$83,AO5)&gt;=1,"",ROW())</f>
        <v>5</v>
      </c>
      <c r="AQ5" t="str">
        <f t="shared" si="36"/>
        <v>Computer-aided Engineering</v>
      </c>
      <c r="AS5" t="s">
        <v>282</v>
      </c>
      <c r="AT5">
        <f>IF(COUNTIF(Cert!$E$20:$E$83,AS5)&gt;=1,"",ROW())</f>
        <v>5</v>
      </c>
      <c r="AU5" t="str">
        <f t="shared" si="37"/>
        <v>Equality and Diversity in Health and Social Care</v>
      </c>
      <c r="AW5" t="s">
        <v>313</v>
      </c>
      <c r="AX5">
        <f>IF(COUNTIF(Cert!$E$20:$E$83,AW5)&gt;=1,"",ROW())</f>
        <v>5</v>
      </c>
      <c r="AY5" t="str">
        <f t="shared" si="38"/>
        <v>Food and Beverage Service in the Hospitality Industry</v>
      </c>
      <c r="BA5" t="s">
        <v>347</v>
      </c>
      <c r="BB5">
        <f>IF(COUNTIF(Cert!$E$20:$E$83,BA5)&gt;=1,"",ROW())</f>
        <v>5</v>
      </c>
      <c r="BC5" t="str">
        <f t="shared" si="39"/>
        <v>Creating Digital Video</v>
      </c>
      <c r="BE5" t="s">
        <v>365</v>
      </c>
      <c r="BF5">
        <f>IF(COUNTIF(Cert!$E$20:$E$83,BE5)&gt;=1,"",ROW())</f>
        <v>5</v>
      </c>
      <c r="BG5" t="str">
        <f t="shared" si="40"/>
        <v>Introducing Music Recording</v>
      </c>
      <c r="BI5" t="s">
        <v>397</v>
      </c>
      <c r="BJ5">
        <f>IF(COUNTIF(Cert!$E$20:$E$83,BI5)&gt;=1,"",ROW())</f>
        <v>5</v>
      </c>
      <c r="BK5" t="str">
        <f t="shared" si="41"/>
        <v>Exploring Improvisation</v>
      </c>
      <c r="BM5" t="s">
        <v>404</v>
      </c>
      <c r="BN5">
        <f>IF(COUNTIF(Cert!$E$20:$E$83,BM5)&gt;=1,"",ROW())</f>
        <v>5</v>
      </c>
      <c r="BO5" t="str">
        <f t="shared" si="42"/>
        <v>Design Planning for Performance</v>
      </c>
      <c r="BQ5" t="s">
        <v>398</v>
      </c>
      <c r="BR5">
        <f>IF(COUNTIF(Cert!$E$20:$E$83,BQ5)&gt;=1,"",ROW())</f>
        <v>5</v>
      </c>
      <c r="BS5" t="str">
        <f t="shared" si="43"/>
        <v>Multimedia Performance</v>
      </c>
      <c r="BU5" t="s">
        <v>405</v>
      </c>
      <c r="BV5">
        <f>IF(COUNTIF(Cert!$E$20:$E$83,BU5)&gt;=1,"",ROW())</f>
        <v>5</v>
      </c>
      <c r="BW5" t="str">
        <f t="shared" si="44"/>
        <v>Realising Costume Design for Performance</v>
      </c>
      <c r="BY5" t="s">
        <v>399</v>
      </c>
      <c r="BZ5">
        <f>IF(COUNTIF(Cert!$E$20:$E$83,BY5)&gt;=1,"",ROW())</f>
        <v>5</v>
      </c>
      <c r="CA5" t="str">
        <f t="shared" si="45"/>
        <v>Voice and Speech for Performers</v>
      </c>
      <c r="CC5" t="s">
        <v>403</v>
      </c>
      <c r="CD5">
        <f>IF(COUNTIF(Cert!$E$20:$E$83,CC5)&gt;=1,"",ROW())</f>
        <v>5</v>
      </c>
      <c r="CE5" t="str">
        <f t="shared" si="46"/>
        <v>Jazz Dance Techniques</v>
      </c>
      <c r="CG5" t="s">
        <v>406</v>
      </c>
      <c r="CH5">
        <f>IF(COUNTIF(Cert!$E$20:$E$83,CG5)&gt;=1,"",ROW())</f>
        <v>5</v>
      </c>
      <c r="CI5" t="str">
        <f t="shared" si="47"/>
        <v>Realising Set Design for Performance</v>
      </c>
      <c r="CK5" t="s">
        <v>400</v>
      </c>
      <c r="CL5">
        <f>IF(COUNTIF(Cert!$E$20:$E$83,CK5)&gt;=1,"",ROW())</f>
        <v>5</v>
      </c>
      <c r="CM5" t="str">
        <f t="shared" si="48"/>
        <v>Performing Scripted Plays</v>
      </c>
      <c r="CO5" t="s">
        <v>435</v>
      </c>
      <c r="CP5">
        <f>IF(COUNTIF(Cert!$E$20:$E$83,CO5)&gt;=1,"",ROW())</f>
        <v>5</v>
      </c>
      <c r="CQ5" t="str">
        <f t="shared" si="49"/>
        <v>Crime and its Effects on Society and Individuals</v>
      </c>
      <c r="CS5" t="s">
        <v>467</v>
      </c>
      <c r="CT5">
        <f>IF(COUNTIF(Cert!$E$20:$E$83,CS5)&gt;=1,"",ROW())</f>
        <v>5</v>
      </c>
      <c r="CU5" t="str">
        <f t="shared" si="50"/>
        <v>Leading Sports Activities</v>
      </c>
      <c r="CW5" t="s">
        <v>489</v>
      </c>
      <c r="CX5">
        <f>IF(COUNTIF(Cert!$E$20:$E$83,CW5)&gt;=1,"",ROW())</f>
        <v>5</v>
      </c>
      <c r="CY5" t="str">
        <f t="shared" si="51"/>
        <v>Promotion and Sales in Travel and Tourism</v>
      </c>
      <c r="DA5" t="s">
        <v>575</v>
      </c>
      <c r="DB5">
        <f>IF(COUNTIF(Cert!$E$20:$E$83,DA5)&gt;=1,"",ROW())</f>
        <v>5</v>
      </c>
      <c r="DC5" t="str">
        <f t="shared" si="52"/>
        <v>Introduction to Working in the Early Years Sector</v>
      </c>
    </row>
    <row r="6" spans="1:107" x14ac:dyDescent="0.25">
      <c r="A6" t="s">
        <v>116</v>
      </c>
      <c r="B6">
        <f>IF(OR(COUNTIF(Cert!$E$20:$E$83,A3)&gt;=1,COUNTIF(Cert!$E$20:$E$83,A6)&gt;=1),"",ROW())</f>
        <v>6</v>
      </c>
      <c r="C6" t="str">
        <f t="shared" si="26"/>
        <v>Design Crafts Briefs</v>
      </c>
      <c r="E6" t="s">
        <v>122</v>
      </c>
      <c r="F6">
        <f>IF(COUNTIF(Cert!$E$20:$E$83,E6)&gt;=1,"",ROW())</f>
        <v>6</v>
      </c>
      <c r="G6" t="str">
        <f t="shared" si="27"/>
        <v>Designing for the Future</v>
      </c>
      <c r="I6" t="s">
        <v>117</v>
      </c>
      <c r="J6">
        <f>IF(COUNTIF(Cert!$E$20:$E$83,I6)&gt;=1,"",ROW())</f>
        <v>6</v>
      </c>
      <c r="K6" t="str">
        <f t="shared" si="28"/>
        <v>Fashion Briefs</v>
      </c>
      <c r="M6" t="s">
        <v>117</v>
      </c>
      <c r="N6">
        <f>IF(COUNTIF(Cert!$E$20:$E$83,M6)&gt;=1,"",ROW())</f>
        <v>6</v>
      </c>
      <c r="O6" t="str">
        <f t="shared" si="29"/>
        <v>Fashion Briefs</v>
      </c>
      <c r="Q6" t="s">
        <v>118</v>
      </c>
      <c r="R6">
        <f>IF(COUNTIF(Cert!$E$20:$E$83,Q6)&gt;=1,"",ROW())</f>
        <v>6</v>
      </c>
      <c r="S6" t="str">
        <f t="shared" si="30"/>
        <v>Graphic Design Briefs</v>
      </c>
      <c r="U6" t="s">
        <v>120</v>
      </c>
      <c r="V6">
        <f>IF(OR(COUNTIF(Cert!$E$20:$E$83,U6)&gt;=1,COUNTIF(Cert!$E$20:$E$83,U2)&gt;=1),"",ROW())</f>
        <v>6</v>
      </c>
      <c r="W6" t="str">
        <f t="shared" si="31"/>
        <v>Visual Arts Briefs</v>
      </c>
      <c r="Y6" t="s">
        <v>161</v>
      </c>
      <c r="Z6">
        <f>IF(COUNTIF(Cert!$E$20:$E$83,Y6)&gt;=1,"",ROW())</f>
        <v>6</v>
      </c>
      <c r="AA6" t="str">
        <f t="shared" si="32"/>
        <v>Providing Business Support</v>
      </c>
      <c r="AC6" t="s">
        <v>193</v>
      </c>
      <c r="AD6">
        <f>IF(COUNTIF(Cert!$E$20:$E$83,AC6)&gt;=1,"",ROW())</f>
        <v>6</v>
      </c>
      <c r="AE6" t="str">
        <f t="shared" si="33"/>
        <v>Exploring Painting and Decorating Principles and Techniques</v>
      </c>
      <c r="AG6" t="s">
        <v>221</v>
      </c>
      <c r="AH6">
        <f>IF(COUNTIF(Cert!$E$20:$E$83,AG6)&gt;=1,"",ROW())</f>
        <v>6</v>
      </c>
      <c r="AI6" t="str">
        <f t="shared" si="34"/>
        <v>Digital Games Production</v>
      </c>
      <c r="AK6" t="s">
        <v>226</v>
      </c>
      <c r="AL6">
        <f>IF(COUNTIF(Cert!$E$20:$E$83,AK6)&gt;=1,"",ROW())</f>
        <v>6</v>
      </c>
      <c r="AM6" t="str">
        <f t="shared" si="35"/>
        <v>Graphic Design for Digital Media</v>
      </c>
      <c r="AO6" t="s">
        <v>241</v>
      </c>
      <c r="AP6">
        <f>IF(COUNTIF(Cert!$E$20:$E$83,AO6)&gt;=1,"",ROW())</f>
        <v>6</v>
      </c>
      <c r="AQ6" t="str">
        <f t="shared" si="36"/>
        <v>Machining Techniques</v>
      </c>
      <c r="AS6" t="s">
        <v>283</v>
      </c>
      <c r="AT6">
        <f>IF(COUNTIF(Cert!$E$20:$E$83,AS6)&gt;=1,"",ROW())</f>
        <v>6</v>
      </c>
      <c r="AU6" t="str">
        <f t="shared" si="37"/>
        <v>Individual Rights in Health and Social Care</v>
      </c>
      <c r="AW6" t="s">
        <v>314</v>
      </c>
      <c r="AX6">
        <f>IF(COUNTIF(Cert!$E$20:$E$83,AW6)&gt;=1,"",ROW())</f>
        <v>6</v>
      </c>
      <c r="AY6" t="str">
        <f t="shared" si="38"/>
        <v>Front Office Services in the Hospitality Industry</v>
      </c>
      <c r="BA6" t="s">
        <v>348</v>
      </c>
      <c r="BB6">
        <f>IF(COUNTIF(Cert!$E$20:$E$83,BA6)&gt;=1,"",ROW())</f>
        <v>6</v>
      </c>
      <c r="BC6" t="str">
        <f t="shared" si="39"/>
        <v>Mobile Apps Development</v>
      </c>
      <c r="BE6" t="s">
        <v>366</v>
      </c>
      <c r="BF6">
        <f>IF(COUNTIF(Cert!$E$20:$E$83,BE6)&gt;=1,"",ROW())</f>
        <v>6</v>
      </c>
      <c r="BG6" t="str">
        <f t="shared" si="40"/>
        <v>Introducing Music Sequencing</v>
      </c>
      <c r="BI6" t="s">
        <v>398</v>
      </c>
      <c r="BJ6">
        <f>IF(COUNTIF(Cert!$E$20:$E$83,BI6)&gt;=1,"",ROW())</f>
        <v>6</v>
      </c>
      <c r="BK6" t="str">
        <f t="shared" si="41"/>
        <v>Multimedia Performance</v>
      </c>
      <c r="BM6" t="s">
        <v>405</v>
      </c>
      <c r="BN6">
        <f>IF(COUNTIF(Cert!$E$20:$E$83,BM6)&gt;=1,"",ROW())</f>
        <v>6</v>
      </c>
      <c r="BO6" t="str">
        <f t="shared" si="42"/>
        <v>Realising Costume Design for Performance</v>
      </c>
      <c r="BQ6" t="s">
        <v>401</v>
      </c>
      <c r="BR6">
        <f>IF(COUNTIF(Cert!$E$20:$E$83,BQ6)&gt;=1,"",ROW())</f>
        <v>6</v>
      </c>
      <c r="BS6" t="str">
        <f t="shared" si="43"/>
        <v>Contemporary Dance Techniques</v>
      </c>
      <c r="BU6" t="s">
        <v>406</v>
      </c>
      <c r="BV6">
        <f>IF(COUNTIF(Cert!$E$20:$E$83,BU6)&gt;=1,"",ROW())</f>
        <v>6</v>
      </c>
      <c r="BW6" t="str">
        <f t="shared" si="44"/>
        <v>Realising Set Design for Performance</v>
      </c>
      <c r="CC6" t="s">
        <v>404</v>
      </c>
      <c r="CD6">
        <f>IF(COUNTIF(Cert!$E$20:$E$83,CC6)&gt;=1,"",ROW())</f>
        <v>6</v>
      </c>
      <c r="CE6" t="str">
        <f t="shared" si="46"/>
        <v>Design Planning for Performance</v>
      </c>
      <c r="CG6" t="s">
        <v>407</v>
      </c>
      <c r="CH6">
        <f>IF(COUNTIF(Cert!$E$20:$E$83,CG6)&gt;=1,"",ROW())</f>
        <v>6</v>
      </c>
      <c r="CI6" t="str">
        <f t="shared" si="47"/>
        <v>Realising Prop Design for Performance</v>
      </c>
      <c r="CK6" t="s">
        <v>401</v>
      </c>
      <c r="CL6">
        <f>IF(COUNTIF(Cert!$E$20:$E$83,CK6)&gt;=1,"",ROW())</f>
        <v>6</v>
      </c>
      <c r="CM6" t="str">
        <f t="shared" si="48"/>
        <v>Contemporary Dance Techniques</v>
      </c>
      <c r="CO6" t="s">
        <v>441</v>
      </c>
      <c r="CP6">
        <f>IF(COUNTIF(Cert!$E$20:$E$83,CO6)&gt;=1,"",ROW())</f>
        <v>6</v>
      </c>
      <c r="CQ6" t="str">
        <f t="shared" si="49"/>
        <v>Promotion of Public Services Provision</v>
      </c>
      <c r="CS6" t="s">
        <v>468</v>
      </c>
      <c r="CT6">
        <f>IF(COUNTIF(Cert!$E$20:$E$83,CS6)&gt;=1,"",ROW())</f>
        <v>6</v>
      </c>
      <c r="CU6" t="str">
        <f t="shared" si="50"/>
        <v>Promotion and Sponsorship in Sport</v>
      </c>
      <c r="CW6" t="s">
        <v>490</v>
      </c>
      <c r="CX6">
        <f>IF(COUNTIF(Cert!$E$20:$E$83,CW6)&gt;=1,"",ROW())</f>
        <v>6</v>
      </c>
      <c r="CY6" t="str">
        <f t="shared" si="51"/>
        <v>Travel and Tourism Employment Opportunities</v>
      </c>
    </row>
    <row r="7" spans="1:107" x14ac:dyDescent="0.25">
      <c r="A7" t="s">
        <v>117</v>
      </c>
      <c r="B7">
        <f>IF(COUNTIF(Cert!$E$20:$E$83,A7)&gt;=1,"",ROW())</f>
        <v>7</v>
      </c>
      <c r="C7" t="str">
        <f t="shared" si="26"/>
        <v>Fashion Briefs</v>
      </c>
      <c r="I7" t="s">
        <v>122</v>
      </c>
      <c r="J7">
        <f>IF(COUNTIF(Cert!$E$20:$E$83,I7)&gt;=1,"",ROW())</f>
        <v>7</v>
      </c>
      <c r="K7" t="str">
        <f t="shared" si="28"/>
        <v>Designing for the Future</v>
      </c>
      <c r="M7" t="s">
        <v>118</v>
      </c>
      <c r="N7">
        <f>IF(OR(COUNTIF(Cert!$E$20:$E$83,M2)&gt;=1,COUNTIF(Cert!$E$20:$E$83,M7)&gt;=1),"",ROW())</f>
        <v>7</v>
      </c>
      <c r="O7" t="str">
        <f t="shared" si="29"/>
        <v>Graphic Design Briefs</v>
      </c>
      <c r="Q7" t="s">
        <v>119</v>
      </c>
      <c r="R7">
        <f>IF(COUNTIF(Cert!$E$20:$E$83,Q7)&gt;=1,"",ROW())</f>
        <v>7</v>
      </c>
      <c r="S7" t="str">
        <f t="shared" si="30"/>
        <v>Textiles Briefs</v>
      </c>
      <c r="U7" t="s">
        <v>121</v>
      </c>
      <c r="V7">
        <f>IF(COUNTIF(Cert!$E$20:$E$83,U7)&gt;=1,"",ROW())</f>
        <v>7</v>
      </c>
      <c r="W7" t="str">
        <f t="shared" si="31"/>
        <v>Photography Briefs</v>
      </c>
      <c r="Y7" t="s">
        <v>162</v>
      </c>
      <c r="Z7">
        <f>IF(OR(COUNTIF(Cert!$E$20:$E$83,Y7)&gt;=1,COUNTIF(Cert!$E$20:$E$83,Y22)&gt;=1),"",ROW())</f>
        <v>7</v>
      </c>
      <c r="AA7" t="str">
        <f t="shared" si="32"/>
        <v>Recruitment, Selection and Employment</v>
      </c>
      <c r="AC7" t="s">
        <v>194</v>
      </c>
      <c r="AD7">
        <f>IF(COUNTIF(Cert!$E$20:$E$83,AC7)&gt;=1,"",ROW())</f>
        <v>7</v>
      </c>
      <c r="AE7" t="str">
        <f t="shared" si="33"/>
        <v>Exploring Plumbing Principles and Techniques</v>
      </c>
      <c r="AK7" t="s">
        <v>227</v>
      </c>
      <c r="AL7">
        <f>IF(COUNTIF(Cert!$E$20:$E$83,AK7)&gt;=1,"",ROW())</f>
        <v>7</v>
      </c>
      <c r="AM7" t="str">
        <f t="shared" si="35"/>
        <v>Writing for Digital Media</v>
      </c>
      <c r="AO7" t="s">
        <v>242</v>
      </c>
      <c r="AP7">
        <f>IF(COUNTIF(Cert!$E$20:$E$83,AO7)&gt;=1,"",ROW())</f>
        <v>7</v>
      </c>
      <c r="AQ7" t="str">
        <f t="shared" si="36"/>
        <v>Electronic Circuit Design and Construction</v>
      </c>
      <c r="AS7" t="s">
        <v>286</v>
      </c>
      <c r="AT7">
        <f>IF(COUNTIF(Cert!$E$20:$E$83,AS7)&gt;=1,"",ROW())</f>
        <v>7</v>
      </c>
      <c r="AU7" t="str">
        <f t="shared" si="37"/>
        <v>Human Body Systems and Care of Disorders</v>
      </c>
      <c r="AW7" t="s">
        <v>315</v>
      </c>
      <c r="AX7">
        <f>IF(COUNTIF(Cert!$E$20:$E$83,AW7)&gt;=1,"",ROW())</f>
        <v>7</v>
      </c>
      <c r="AY7" t="str">
        <f t="shared" si="38"/>
        <v>Marketing and Promotion in Hospitality</v>
      </c>
      <c r="BA7" t="s">
        <v>349</v>
      </c>
      <c r="BB7">
        <f>IF(COUNTIF(Cert!$E$20:$E$83,BA7)&gt;=1,"",ROW())</f>
        <v>7</v>
      </c>
      <c r="BC7" t="str">
        <f t="shared" si="39"/>
        <v>Spreadsheet Development</v>
      </c>
      <c r="BE7" t="s">
        <v>367</v>
      </c>
      <c r="BF7">
        <f>IF(COUNTIF(Cert!$E$20:$E$83,BE7)&gt;=1,"",ROW())</f>
        <v>7</v>
      </c>
      <c r="BG7" t="str">
        <f t="shared" si="40"/>
        <v>Introducing Choral Studies</v>
      </c>
      <c r="BI7" t="s">
        <v>399</v>
      </c>
      <c r="BJ7">
        <f>IF(COUNTIF(Cert!$E$20:$E$83,BI7)&gt;=1,"",ROW())</f>
        <v>7</v>
      </c>
      <c r="BK7" t="str">
        <f t="shared" si="41"/>
        <v>Voice and Speech for Performers</v>
      </c>
      <c r="BM7" t="s">
        <v>406</v>
      </c>
      <c r="BN7">
        <f>IF(COUNTIF(Cert!$E$20:$E$83,BM7)&gt;=1,"",ROW())</f>
        <v>7</v>
      </c>
      <c r="BO7" t="str">
        <f t="shared" si="42"/>
        <v>Realising Set Design for Performance</v>
      </c>
      <c r="BQ7" t="s">
        <v>402</v>
      </c>
      <c r="BR7">
        <f>IF(COUNTIF(Cert!$E$20:$E$83,BQ7)&gt;=1,"",ROW())</f>
        <v>7</v>
      </c>
      <c r="BS7" t="str">
        <f t="shared" si="43"/>
        <v>Exploring Urban Dance Styles</v>
      </c>
      <c r="BU7" t="s">
        <v>407</v>
      </c>
      <c r="BV7">
        <f>IF(COUNTIF(Cert!$E$20:$E$83,BU7)&gt;=1,"",ROW())</f>
        <v>7</v>
      </c>
      <c r="BW7" t="str">
        <f t="shared" si="44"/>
        <v>Realising Prop Design for Performance</v>
      </c>
      <c r="CC7" t="s">
        <v>405</v>
      </c>
      <c r="CD7">
        <f>IF(COUNTIF(Cert!$E$20:$E$83,CC7)&gt;=1,"",ROW())</f>
        <v>7</v>
      </c>
      <c r="CE7" t="str">
        <f t="shared" si="46"/>
        <v>Realising Costume Design for Performance</v>
      </c>
      <c r="CG7" t="s">
        <v>408</v>
      </c>
      <c r="CH7">
        <f>IF(COUNTIF(Cert!$E$20:$E$83,CG7)&gt;=1,"",ROW())</f>
        <v>7</v>
      </c>
      <c r="CI7" t="str">
        <f t="shared" si="47"/>
        <v>Realising Mask Design for Performance</v>
      </c>
      <c r="CK7" t="s">
        <v>402</v>
      </c>
      <c r="CL7">
        <f>IF(COUNTIF(Cert!$E$20:$E$83,CK7)&gt;=1,"",ROW())</f>
        <v>7</v>
      </c>
      <c r="CM7" t="str">
        <f t="shared" si="48"/>
        <v>Exploring Urban Dance Styles</v>
      </c>
      <c r="CO7" t="s">
        <v>442</v>
      </c>
      <c r="CP7">
        <f>IF(COUNTIF(Cert!$E$20:$E$83,CO7)&gt;=1,"",ROW())</f>
        <v>7</v>
      </c>
      <c r="CQ7" t="str">
        <f t="shared" si="49"/>
        <v>Community and Cultural Awareness</v>
      </c>
      <c r="CS7" t="s">
        <v>469</v>
      </c>
      <c r="CT7">
        <f>IF(COUNTIF(Cert!$E$20:$E$83,CS7)&gt;=1,"",ROW())</f>
        <v>7</v>
      </c>
      <c r="CU7" t="str">
        <f t="shared" si="50"/>
        <v>Lifestyle and Well-being</v>
      </c>
      <c r="CW7" t="s">
        <v>491</v>
      </c>
      <c r="CX7">
        <f>IF(COUNTIF(Cert!$E$20:$E$83,CW7)&gt;=1,"",ROW())</f>
        <v>7</v>
      </c>
      <c r="CY7" t="str">
        <f t="shared" si="51"/>
        <v>Organising a Travel and Tourism Study Visit</v>
      </c>
    </row>
    <row r="8" spans="1:107" x14ac:dyDescent="0.25">
      <c r="A8" t="s">
        <v>118</v>
      </c>
      <c r="B8">
        <f>IF(OR(COUNTIF(Cert!$E$20:$E$83,A2)&gt;=1,COUNTIF(Cert!$E$20:$E$83,A8)&gt;=1),"",ROW())</f>
        <v>8</v>
      </c>
      <c r="C8" t="str">
        <f t="shared" si="26"/>
        <v>Graphic Design Briefs</v>
      </c>
      <c r="I8" t="s">
        <v>136</v>
      </c>
      <c r="J8">
        <f>IF(COUNTIF(Cert!$E$20:$E$83,I8)&gt;=1,"",ROW())</f>
        <v>8</v>
      </c>
      <c r="K8" t="str">
        <f t="shared" si="28"/>
        <v>Studio Photography</v>
      </c>
      <c r="M8" t="s">
        <v>119</v>
      </c>
      <c r="N8">
        <f>IF(COUNTIF(Cert!$E$20:$E$83,M8)&gt;=1,"",ROW())</f>
        <v>8</v>
      </c>
      <c r="O8" t="str">
        <f t="shared" si="29"/>
        <v>Textiles Briefs</v>
      </c>
      <c r="Q8" t="s">
        <v>121</v>
      </c>
      <c r="R8">
        <f>IF(COUNTIF(Cert!$E$20:$E$83,Q8)&gt;=1,"",ROW())</f>
        <v>8</v>
      </c>
      <c r="S8" t="str">
        <f t="shared" si="30"/>
        <v>Photography Briefs</v>
      </c>
      <c r="U8" t="s">
        <v>122</v>
      </c>
      <c r="V8">
        <f>IF(COUNTIF(Cert!$E$20:$E$83,U8)&gt;=1,"",ROW())</f>
        <v>8</v>
      </c>
      <c r="W8" t="str">
        <f t="shared" si="31"/>
        <v>Designing for the Future</v>
      </c>
      <c r="Y8" t="s">
        <v>163</v>
      </c>
      <c r="Z8">
        <f>IF(COUNTIF(Cert!$E$20:$E$83,Y8)&gt;=1,"",ROW())</f>
        <v>8</v>
      </c>
      <c r="AA8" t="str">
        <f t="shared" si="32"/>
        <v>Using Business Documentation</v>
      </c>
      <c r="AC8" t="s">
        <v>195</v>
      </c>
      <c r="AD8">
        <f>IF(COUNTIF(Cert!$E$20:$E$83,AC8)&gt;=1,"",ROW())</f>
        <v>8</v>
      </c>
      <c r="AE8" t="str">
        <f t="shared" si="33"/>
        <v>Exploring Electrical Principles and Techniques</v>
      </c>
      <c r="AK8" t="s">
        <v>228</v>
      </c>
      <c r="AL8">
        <f>IF(COUNTIF(Cert!$E$20:$E$83,AK8)&gt;=1,"",ROW())</f>
        <v>8</v>
      </c>
      <c r="AM8" t="str">
        <f t="shared" si="35"/>
        <v>Digital Games Testing</v>
      </c>
      <c r="AO8" t="s">
        <v>248</v>
      </c>
      <c r="AP8">
        <f>IF(COUNTIF(Cert!$E$20:$E$83,AO8)&gt;=1,"",ROW())</f>
        <v>8</v>
      </c>
      <c r="AQ8" t="str">
        <f t="shared" si="36"/>
        <v>Electrical and Mechanical Science for Engineering</v>
      </c>
      <c r="AS8" t="s">
        <v>297</v>
      </c>
      <c r="AT8">
        <f>IF(COUNTIF(Cert!$E$20:$E$83,AS8)&gt;=1,"",ROW())</f>
        <v>8</v>
      </c>
      <c r="AU8" t="str">
        <f t="shared" si="37"/>
        <v>Services in Health and Social Care</v>
      </c>
      <c r="AW8" t="s">
        <v>316</v>
      </c>
      <c r="AX8">
        <f>IF(COUNTIF(Cert!$E$20:$E$83,AW8)&gt;=1,"",ROW())</f>
        <v>8</v>
      </c>
      <c r="AY8" t="str">
        <f t="shared" si="38"/>
        <v>Accommodation Services in the Hospitality Industry</v>
      </c>
      <c r="BA8" t="s">
        <v>333</v>
      </c>
      <c r="BB8">
        <f>IF(COUNTIF(Cert!$E$20:$E$83,BA8)&gt;=1,"",ROW())</f>
        <v>8</v>
      </c>
      <c r="BC8" t="str">
        <f t="shared" si="39"/>
        <v>Database Development</v>
      </c>
      <c r="BE8" t="s">
        <v>368</v>
      </c>
      <c r="BF8">
        <f>IF(COUNTIF(Cert!$E$20:$E$83,BE8)&gt;=1,"",ROW())</f>
        <v>8</v>
      </c>
      <c r="BG8" t="str">
        <f t="shared" si="40"/>
        <v>Introducing Music Theory</v>
      </c>
      <c r="BI8" t="s">
        <v>400</v>
      </c>
      <c r="BJ8">
        <f>IF(COUNTIF(Cert!$E$20:$E$83,BI8)&gt;=1,"",ROW())</f>
        <v>8</v>
      </c>
      <c r="BK8" t="str">
        <f t="shared" si="41"/>
        <v>Performing Scripted Plays</v>
      </c>
      <c r="BM8" t="s">
        <v>407</v>
      </c>
      <c r="BN8">
        <f>IF(COUNTIF(Cert!$E$20:$E$83,BM8)&gt;=1,"",ROW())</f>
        <v>8</v>
      </c>
      <c r="BO8" t="str">
        <f t="shared" si="42"/>
        <v>Realising Prop Design for Performance</v>
      </c>
      <c r="BQ8" t="s">
        <v>403</v>
      </c>
      <c r="BR8">
        <f>IF(COUNTIF(Cert!$E$20:$E$83,BQ8)&gt;=1,"",ROW())</f>
        <v>8</v>
      </c>
      <c r="BS8" t="str">
        <f t="shared" si="43"/>
        <v>Jazz Dance Techniques</v>
      </c>
      <c r="BU8" t="s">
        <v>408</v>
      </c>
      <c r="BV8">
        <f>IF(COUNTIF(Cert!$E$20:$E$83,BU8)&gt;=1,"",ROW())</f>
        <v>8</v>
      </c>
      <c r="BW8" t="str">
        <f t="shared" si="44"/>
        <v>Realising Mask Design for Performance</v>
      </c>
      <c r="CC8" t="s">
        <v>406</v>
      </c>
      <c r="CD8">
        <f>IF(COUNTIF(Cert!$E$20:$E$83,CC8)&gt;=1,"",ROW())</f>
        <v>8</v>
      </c>
      <c r="CE8" t="str">
        <f t="shared" si="46"/>
        <v>Realising Set Design for Performance</v>
      </c>
      <c r="CG8" t="s">
        <v>409</v>
      </c>
      <c r="CH8">
        <f>IF(COUNTIF(Cert!$E$20:$E$83,CG8)&gt;=1,"",ROW())</f>
        <v>8</v>
      </c>
      <c r="CI8" t="str">
        <f t="shared" si="47"/>
        <v>Lighting for Performance</v>
      </c>
      <c r="CK8" t="s">
        <v>403</v>
      </c>
      <c r="CL8">
        <f>IF(COUNTIF(Cert!$E$20:$E$83,CK8)&gt;=1,"",ROW())</f>
        <v>8</v>
      </c>
      <c r="CM8" t="str">
        <f t="shared" si="48"/>
        <v>Jazz Dance Techniques</v>
      </c>
      <c r="CO8" t="s">
        <v>443</v>
      </c>
      <c r="CP8">
        <f>IF(OR(COUNTIF(Cert!$E$20:$E$83,CO8)&gt;=1,COUNTIF(Cert!$E$20:$E$83,CO12)&gt;=1),"",ROW())</f>
        <v>8</v>
      </c>
      <c r="CQ8" t="str">
        <f t="shared" si="49"/>
        <v>Adventurous Activities in the Public Services</v>
      </c>
      <c r="CS8" t="s">
        <v>470</v>
      </c>
      <c r="CT8">
        <f>IF(COUNTIF(Cert!$E$20:$E$83,CS8)&gt;=1,"",ROW())</f>
        <v>8</v>
      </c>
      <c r="CU8" t="str">
        <f t="shared" si="50"/>
        <v>Injury and the Sports Performer</v>
      </c>
      <c r="CW8" t="s">
        <v>488</v>
      </c>
      <c r="CX8">
        <f>IF(OR(COUNTIF(Cert!$E$20:$E$83,CW4)&gt;=1,COUNTIF(Cert!$E$20:$E$83,CW8)&gt;=1),"",ROW())</f>
        <v>8</v>
      </c>
      <c r="CY8" t="str">
        <f t="shared" si="51"/>
        <v>Delivering the Travel and Tourism Customer Experience</v>
      </c>
    </row>
    <row r="9" spans="1:107" x14ac:dyDescent="0.25">
      <c r="A9" t="s">
        <v>119</v>
      </c>
      <c r="B9">
        <f>IF(COUNTIF(Cert!$E$20:$E$83,A9)&gt;=1,"",ROW())</f>
        <v>9</v>
      </c>
      <c r="C9" t="str">
        <f t="shared" si="26"/>
        <v>Textiles Briefs</v>
      </c>
      <c r="I9" t="s">
        <v>137</v>
      </c>
      <c r="J9">
        <f>IF(COUNTIF(Cert!$E$20:$E$83,I9)&gt;=1,"",ROW())</f>
        <v>9</v>
      </c>
      <c r="K9" t="str">
        <f t="shared" si="28"/>
        <v>Location Photography</v>
      </c>
      <c r="Q9" t="s">
        <v>133</v>
      </c>
      <c r="R9">
        <f>IF(COUNTIF(Cert!$E$20:$E$83,Q9)&gt;=1,"",ROW())</f>
        <v>9</v>
      </c>
      <c r="S9" t="str">
        <f t="shared" si="30"/>
        <v>Printmaking Briefs</v>
      </c>
      <c r="U9" t="s">
        <v>111</v>
      </c>
      <c r="V9">
        <f>IF(COUNTIF(Cert!$E$20:$E$83,U9)&gt;=1,"",ROW())</f>
        <v>9</v>
      </c>
      <c r="W9" t="str">
        <f t="shared" si="31"/>
        <v>Applying Contextual References in Art and Design</v>
      </c>
      <c r="Y9" t="s">
        <v>164</v>
      </c>
      <c r="Z9">
        <f>IF(COUNTIF(Cert!$E$20:$E$83,Y9)&gt;=1,"",ROW())</f>
        <v>9</v>
      </c>
      <c r="AA9" t="str">
        <f t="shared" si="32"/>
        <v>Building Successful Business Teams</v>
      </c>
      <c r="AC9" t="s">
        <v>188</v>
      </c>
      <c r="AD9">
        <f>IF(COUNTIF(Cert!$E$20:$E$83,AC9)&gt;=1,"",ROW())</f>
        <v>9</v>
      </c>
      <c r="AE9" t="str">
        <f t="shared" si="33"/>
        <v>Sustainability in Construction</v>
      </c>
      <c r="AO9" t="s">
        <v>243</v>
      </c>
      <c r="AP9">
        <f>IF(COUNTIF(Cert!$E$20:$E$83,AO9)&gt;=1,"",ROW())</f>
        <v>9</v>
      </c>
      <c r="AQ9" t="str">
        <f t="shared" si="36"/>
        <v>Engineering Design</v>
      </c>
      <c r="AS9" t="s">
        <v>287</v>
      </c>
      <c r="AT9">
        <f>IF(COUNTIF(Cert!$E$20:$E$83,AS9)&gt;=1,"",ROW())</f>
        <v>9</v>
      </c>
      <c r="AU9" t="str">
        <f t="shared" si="37"/>
        <v>Creative and Therapeutic Activities in Health and Social Care</v>
      </c>
      <c r="AW9" t="s">
        <v>317</v>
      </c>
      <c r="AX9">
        <f>IF(COUNTIF(Cert!$E$20:$E$83,AW9)&gt;=1,"",ROW())</f>
        <v>9</v>
      </c>
      <c r="AY9" t="str">
        <f t="shared" si="38"/>
        <v>Planning and Running a Hospitality Event</v>
      </c>
      <c r="BA9" t="s">
        <v>334</v>
      </c>
      <c r="BB9">
        <f>IF(COUNTIF(Cert!$E$20:$E$83,BA9)&gt;=1,"",ROW())</f>
        <v>9</v>
      </c>
      <c r="BC9" t="str">
        <f t="shared" si="39"/>
        <v>Computer Networks</v>
      </c>
      <c r="BE9" t="s">
        <v>369</v>
      </c>
      <c r="BF9">
        <f>IF(COUNTIF(Cert!$E$20:$E$83,BE9)&gt;=1,"",ROW())</f>
        <v>9</v>
      </c>
      <c r="BG9" t="str">
        <f t="shared" si="40"/>
        <v>Developing Solo Music Performance</v>
      </c>
      <c r="BI9" t="s">
        <v>388</v>
      </c>
      <c r="BJ9">
        <f>IF(COUNTIF(Cert!$E$20:$E$83,BI9)&gt;=1,"",ROW())</f>
        <v>9</v>
      </c>
      <c r="BK9" t="str">
        <f t="shared" si="41"/>
        <v>Community Arts</v>
      </c>
      <c r="BM9" t="s">
        <v>408</v>
      </c>
      <c r="BN9">
        <f>IF(COUNTIF(Cert!$E$20:$E$83,BM9)&gt;=1,"",ROW())</f>
        <v>9</v>
      </c>
      <c r="BO9" t="str">
        <f t="shared" si="42"/>
        <v>Realising Mask Design for Performance</v>
      </c>
      <c r="BQ9" t="s">
        <v>419</v>
      </c>
      <c r="BR9">
        <f>IF(COUNTIF(Cert!$E$20:$E$83,BQ9)&gt;=1,"",ROW())</f>
        <v>9</v>
      </c>
      <c r="BS9" t="str">
        <f t="shared" si="43"/>
        <v>Physical Theatre Performance</v>
      </c>
      <c r="BU9" t="s">
        <v>409</v>
      </c>
      <c r="BV9">
        <f>IF(COUNTIF(Cert!$E$20:$E$83,BU9)&gt;=1,"",ROW())</f>
        <v>9</v>
      </c>
      <c r="BW9" t="str">
        <f t="shared" si="44"/>
        <v>Lighting for Performance</v>
      </c>
      <c r="CC9" t="s">
        <v>407</v>
      </c>
      <c r="CD9">
        <f>IF(COUNTIF(Cert!$E$20:$E$83,CC9)&gt;=1,"",ROW())</f>
        <v>9</v>
      </c>
      <c r="CE9" t="str">
        <f t="shared" si="46"/>
        <v>Realising Prop Design for Performance</v>
      </c>
      <c r="CG9" t="s">
        <v>410</v>
      </c>
      <c r="CH9">
        <f>IF(COUNTIF(Cert!$E$20:$E$83,CG9)&gt;=1,"",ROW())</f>
        <v>9</v>
      </c>
      <c r="CI9" t="str">
        <f t="shared" si="47"/>
        <v>Sound for Performance</v>
      </c>
      <c r="CO9" t="s">
        <v>444</v>
      </c>
      <c r="CP9">
        <f>IF(COUNTIF(Cert!$E$20:$E$83,CO9)&gt;=1,"",ROW())</f>
        <v>9</v>
      </c>
      <c r="CQ9" t="str">
        <f t="shared" si="49"/>
        <v>Sport and Recreation in the Public Services</v>
      </c>
      <c r="CS9" t="s">
        <v>471</v>
      </c>
      <c r="CT9">
        <f>IF(COUNTIF(Cert!$E$20:$E$83,CS9)&gt;=1,"",ROW())</f>
        <v>9</v>
      </c>
      <c r="CU9" t="str">
        <f t="shared" si="50"/>
        <v>Running a Sports Event</v>
      </c>
      <c r="CW9" t="s">
        <v>492</v>
      </c>
      <c r="CX9">
        <f>IF(COUNTIF(Cert!$E$20:$E$83,CW9)&gt;=1,"",ROW())</f>
        <v>9</v>
      </c>
      <c r="CY9" t="str">
        <f t="shared" si="51"/>
        <v>Marketing in Travel and Tourism</v>
      </c>
    </row>
    <row r="10" spans="1:107" x14ac:dyDescent="0.25">
      <c r="A10" t="s">
        <v>120</v>
      </c>
      <c r="B10">
        <f>IF(OR(COUNTIF(Cert!$E$20:$E$83,A2)&gt;=1,COUNTIF(Cert!$E$20:$E$83,A3)&gt;=1,COUNTIF(Cert!$E$20:$E$83,A10)&gt;=1),"",ROW())</f>
        <v>10</v>
      </c>
      <c r="C10" t="str">
        <f t="shared" si="26"/>
        <v>Visual Arts Briefs</v>
      </c>
      <c r="I10" t="s">
        <v>139</v>
      </c>
      <c r="J10">
        <f>IF(COUNTIF(Cert!$E$20:$E$83,I10)&gt;=1,"",ROW())</f>
        <v>10</v>
      </c>
      <c r="K10" t="str">
        <f t="shared" si="28"/>
        <v>Editing Photographic Images</v>
      </c>
      <c r="Q10" t="s">
        <v>134</v>
      </c>
      <c r="R10">
        <f>IF(COUNTIF(Cert!$E$20:$E$83,Q10)&gt;=1,"",ROW())</f>
        <v>10</v>
      </c>
      <c r="S10" t="str">
        <f t="shared" si="30"/>
        <v>Drawing from Observation</v>
      </c>
      <c r="U10" t="s">
        <v>123</v>
      </c>
      <c r="V10">
        <f>IF(COUNTIF(Cert!$E$20:$E$83,U10)&gt;=1,"",ROW())</f>
        <v>10</v>
      </c>
      <c r="W10" t="str">
        <f t="shared" si="31"/>
        <v>Art, Craft and Design in the Creative Industries</v>
      </c>
      <c r="Y10" t="s">
        <v>165</v>
      </c>
      <c r="Z10">
        <f>IF(COUNTIF(Cert!$E$20:$E$83,Y10)&gt;=1,"",ROW())</f>
        <v>10</v>
      </c>
      <c r="AA10" t="str">
        <f t="shared" si="32"/>
        <v>Introducing Law and Consumer Rights</v>
      </c>
      <c r="AC10" t="s">
        <v>196</v>
      </c>
      <c r="AD10">
        <f>IF(COUNTIF(Cert!$E$20:$E$83,AC10)&gt;=1,"",ROW())</f>
        <v>10</v>
      </c>
      <c r="AE10" t="str">
        <f t="shared" si="33"/>
        <v>Exploring Roofing Principles and Techniques</v>
      </c>
      <c r="AO10" t="s">
        <v>249</v>
      </c>
      <c r="AP10">
        <f>IF(COUNTIF(Cert!$E$20:$E$83,AO10)&gt;=1,"",ROW())</f>
        <v>10</v>
      </c>
      <c r="AQ10" t="str">
        <f t="shared" si="36"/>
        <v>Engineering Assembly</v>
      </c>
      <c r="AW10" t="s">
        <v>318</v>
      </c>
      <c r="AX10">
        <f>IF(COUNTIF(Cert!$E$20:$E$83,AW10)&gt;=1,"",ROW())</f>
        <v>10</v>
      </c>
      <c r="AY10" t="str">
        <f t="shared" si="38"/>
        <v>Contemporary World Food Cooking Skills</v>
      </c>
      <c r="BA10" t="s">
        <v>335</v>
      </c>
      <c r="BB10">
        <f>IF(COUNTIF(Cert!$E$20:$E$83,BA10)&gt;=1,"",ROW())</f>
        <v>10</v>
      </c>
      <c r="BC10" t="str">
        <f t="shared" si="39"/>
        <v>Software Development</v>
      </c>
      <c r="BE10" t="s">
        <v>370</v>
      </c>
      <c r="BF10">
        <f>IF(COUNTIF(Cert!$E$20:$E$83,BE10)&gt;=1,"",ROW())</f>
        <v>10</v>
      </c>
      <c r="BG10" t="str">
        <f t="shared" si="40"/>
        <v>The Development of Music</v>
      </c>
      <c r="BI10" t="s">
        <v>416</v>
      </c>
      <c r="BJ10">
        <f>IF(COUNTIF(Cert!$E$20:$E$83,BI10)&gt;=1,"",ROW())</f>
        <v>10</v>
      </c>
      <c r="BK10" t="str">
        <f t="shared" si="41"/>
        <v>Directing Performance</v>
      </c>
      <c r="BM10" t="s">
        <v>409</v>
      </c>
      <c r="BN10">
        <f>IF(COUNTIF(Cert!$E$20:$E$83,BM10)&gt;=1,"",ROW())</f>
        <v>10</v>
      </c>
      <c r="BO10" t="str">
        <f t="shared" si="42"/>
        <v>Lighting for Performance</v>
      </c>
      <c r="BQ10" t="s">
        <v>420</v>
      </c>
      <c r="BR10">
        <f>IF(COUNTIF(Cert!$E$20:$E$83,BQ10)&gt;=1,"",ROW())</f>
        <v>10</v>
      </c>
      <c r="BS10" t="str">
        <f t="shared" si="43"/>
        <v>Variety Performance</v>
      </c>
      <c r="BU10" t="s">
        <v>410</v>
      </c>
      <c r="BV10">
        <f>IF(COUNTIF(Cert!$E$20:$E$83,BU10)&gt;=1,"",ROW())</f>
        <v>10</v>
      </c>
      <c r="BW10" t="str">
        <f t="shared" si="44"/>
        <v>Sound for Performance</v>
      </c>
      <c r="CC10" t="s">
        <v>408</v>
      </c>
      <c r="CD10">
        <f>IF(COUNTIF(Cert!$E$20:$E$83,CC10)&gt;=1,"",ROW())</f>
        <v>10</v>
      </c>
      <c r="CE10" t="str">
        <f t="shared" si="46"/>
        <v>Realising Mask Design for Performance</v>
      </c>
      <c r="CG10" t="s">
        <v>411</v>
      </c>
      <c r="CH10">
        <f>IF(COUNTIF(Cert!$E$20:$E$83,CG10)&gt;=1,"",ROW())</f>
        <v>10</v>
      </c>
      <c r="CI10" t="str">
        <f t="shared" si="47"/>
        <v>Supporting Performance: Stage Management</v>
      </c>
      <c r="CO10" t="s">
        <v>445</v>
      </c>
      <c r="CP10">
        <f>IF(COUNTIF(Cert!$E$20:$E$83,CO10)&gt;=1,"",ROW())</f>
        <v>10</v>
      </c>
      <c r="CQ10" t="str">
        <f t="shared" si="49"/>
        <v>Land Navigation by Map and Compass</v>
      </c>
      <c r="CS10" t="s">
        <v>472</v>
      </c>
      <c r="CT10">
        <f>IF(COUNTIF(Cert!$E$20:$E$83,CS10)&gt;=1,"",ROW())</f>
        <v>10</v>
      </c>
      <c r="CU10" t="str">
        <f t="shared" si="50"/>
        <v>The Sport and Active Leisure Industry</v>
      </c>
      <c r="CW10" t="s">
        <v>493</v>
      </c>
      <c r="CX10">
        <f>IF(COUNTIF(Cert!$E$20:$E$83,CW10)&gt;=1,"",ROW())</f>
        <v>10</v>
      </c>
      <c r="CY10" t="str">
        <f t="shared" si="51"/>
        <v>Airports and Airlines</v>
      </c>
    </row>
    <row r="11" spans="1:107" x14ac:dyDescent="0.25">
      <c r="A11" t="s">
        <v>121</v>
      </c>
      <c r="B11">
        <f>IF(COUNTIF(Cert!$E$20:$E$83,A11)&gt;=1,"",ROW())</f>
        <v>11</v>
      </c>
      <c r="C11" t="str">
        <f t="shared" si="26"/>
        <v>Photography Briefs</v>
      </c>
      <c r="Q11" t="s">
        <v>141</v>
      </c>
      <c r="R11">
        <f>IF(COUNTIF(Cert!$E$20:$E$83,Q11)&gt;=1,"",ROW())</f>
        <v>11</v>
      </c>
      <c r="S11" t="str">
        <f t="shared" si="30"/>
        <v>Surface Design</v>
      </c>
      <c r="U11" t="s">
        <v>125</v>
      </c>
      <c r="V11">
        <f>IF(COUNTIF(Cert!$E$20:$E$83,U11)&gt;=1,"",ROW())</f>
        <v>11</v>
      </c>
      <c r="W11" t="str">
        <f t="shared" si="31"/>
        <v>Digital Art and Design Briefs</v>
      </c>
      <c r="Y11" t="s">
        <v>166</v>
      </c>
      <c r="Z11">
        <f>IF(COUNTIF(Cert!$E$20:$E$83,Y11)&gt;=1,"",ROW())</f>
        <v>11</v>
      </c>
      <c r="AA11" t="str">
        <f t="shared" si="32"/>
        <v>Financial Planning and Forecasting</v>
      </c>
      <c r="AC11" t="s">
        <v>197</v>
      </c>
      <c r="AD11">
        <f>IF(COUNTIF(Cert!$E$20:$E$83,AC11)&gt;=1,"",ROW())</f>
        <v>11</v>
      </c>
      <c r="AE11" t="str">
        <f t="shared" si="33"/>
        <v>Exploring Wall and Floor Tiling Principles and Techniques</v>
      </c>
      <c r="AO11" t="s">
        <v>250</v>
      </c>
      <c r="AP11">
        <f>IF(COUNTIF(Cert!$E$20:$E$83,AO11)&gt;=1,"",ROW())</f>
        <v>11</v>
      </c>
      <c r="AQ11" t="str">
        <f t="shared" si="36"/>
        <v>Vehicle Engines and Other Systems</v>
      </c>
      <c r="AW11" t="s">
        <v>308</v>
      </c>
      <c r="AX11">
        <f>IF(COUNTIF(Cert!$E$20:$E$83,AW11)&gt;=1,"",ROW())</f>
        <v>11</v>
      </c>
      <c r="AY11" t="str">
        <f t="shared" si="38"/>
        <v>Teamwork in Hospitality</v>
      </c>
      <c r="BA11" t="s">
        <v>336</v>
      </c>
      <c r="BB11">
        <f>IF(COUNTIF(Cert!$E$20:$E$83,BA11)&gt;=1,"",ROW())</f>
        <v>11</v>
      </c>
      <c r="BC11" t="str">
        <f t="shared" si="39"/>
        <v>Website Development</v>
      </c>
      <c r="BE11" t="s">
        <v>371</v>
      </c>
      <c r="BF11">
        <f>IF(COUNTIF(Cert!$E$20:$E$83,BE11)&gt;=1,"",ROW())</f>
        <v>11</v>
      </c>
      <c r="BG11" t="str">
        <f t="shared" si="40"/>
        <v>Developing Music Composition</v>
      </c>
      <c r="BI11" t="s">
        <v>417</v>
      </c>
      <c r="BJ11">
        <f>IF(COUNTIF(Cert!$E$20:$E$83,BI11)&gt;=1,"",ROW())</f>
        <v>11</v>
      </c>
      <c r="BK11" t="str">
        <f t="shared" si="41"/>
        <v>Planning and Managing a Performing Arts Event</v>
      </c>
      <c r="BM11" t="s">
        <v>410</v>
      </c>
      <c r="BN11">
        <f>IF(COUNTIF(Cert!$E$20:$E$83,BM11)&gt;=1,"",ROW())</f>
        <v>11</v>
      </c>
      <c r="BO11" t="str">
        <f t="shared" si="42"/>
        <v>Sound for Performance</v>
      </c>
      <c r="BQ11" t="s">
        <v>423</v>
      </c>
      <c r="BR11">
        <f>IF(COUNTIF(Cert!$E$20:$E$83,BQ11)&gt;=1,"",ROW())</f>
        <v>11</v>
      </c>
      <c r="BS11" t="str">
        <f t="shared" si="43"/>
        <v>Singing Skills in the Performing Arts</v>
      </c>
      <c r="BU11" t="s">
        <v>413</v>
      </c>
      <c r="BV11">
        <f>IF(COUNTIF(Cert!$E$20:$E$83,BU11)&gt;=1,"",ROW())</f>
        <v>11</v>
      </c>
      <c r="BW11" t="str">
        <f t="shared" si="44"/>
        <v>Make-up for Performance</v>
      </c>
      <c r="CC11" t="s">
        <v>409</v>
      </c>
      <c r="CD11">
        <f>IF(COUNTIF(Cert!$E$20:$E$83,CC11)&gt;=1,"",ROW())</f>
        <v>11</v>
      </c>
      <c r="CE11" t="str">
        <f t="shared" si="46"/>
        <v>Lighting for Performance</v>
      </c>
      <c r="CG11" t="s">
        <v>412</v>
      </c>
      <c r="CH11">
        <f>IF(COUNTIF(Cert!$E$20:$E$83,CG11)&gt;=1,"",ROW())</f>
        <v>11</v>
      </c>
      <c r="CI11" t="str">
        <f t="shared" si="47"/>
        <v>Supporting Performance: Front of House</v>
      </c>
      <c r="CO11" t="s">
        <v>446</v>
      </c>
      <c r="CP11">
        <f>IF(COUNTIF(Cert!$E$20:$E$83,CO11)&gt;=1,"",ROW())</f>
        <v>11</v>
      </c>
      <c r="CQ11" t="str">
        <f t="shared" si="49"/>
        <v>Volunteering for the Public Services</v>
      </c>
      <c r="CS11" t="s">
        <v>473</v>
      </c>
      <c r="CT11">
        <f>IF(COUNTIF(Cert!$E$20:$E$83,CS11)&gt;=1,"",ROW())</f>
        <v>11</v>
      </c>
      <c r="CU11" t="str">
        <f t="shared" si="50"/>
        <v>Profiling Sports Performance</v>
      </c>
      <c r="CW11" t="s">
        <v>495</v>
      </c>
      <c r="CX11">
        <f>IF(COUNTIF(Cert!$E$20:$E$83,CW11)&gt;=1,"",ROW())</f>
        <v>11</v>
      </c>
      <c r="CY11" t="str">
        <f t="shared" si="51"/>
        <v>Work-related Experience in Travel and Tourism</v>
      </c>
    </row>
    <row r="12" spans="1:107" x14ac:dyDescent="0.25">
      <c r="A12" t="s">
        <v>122</v>
      </c>
      <c r="B12">
        <f>IF(COUNTIF(Cert!$E$20:$E$83,A12)&gt;=1,"",ROW())</f>
        <v>12</v>
      </c>
      <c r="C12" t="str">
        <f t="shared" si="26"/>
        <v>Designing for the Future</v>
      </c>
      <c r="Q12" t="s">
        <v>145</v>
      </c>
      <c r="R12">
        <f>IF(COUNTIF(Cert!$E$20:$E$83,Q12)&gt;=1,"",ROW())</f>
        <v>12</v>
      </c>
      <c r="S12" t="str">
        <f t="shared" si="30"/>
        <v>Sculpture</v>
      </c>
      <c r="U12" t="s">
        <v>126</v>
      </c>
      <c r="V12">
        <f>IF(COUNTIF(Cert!$E$20:$E$83,U12)&gt;=1,"",ROW())</f>
        <v>12</v>
      </c>
      <c r="W12" t="str">
        <f t="shared" si="31"/>
        <v>Interactive Media Production Briefs</v>
      </c>
      <c r="Y12" t="s">
        <v>167</v>
      </c>
      <c r="Z12">
        <f>IF(COUNTIF(Cert!$E$20:$E$83,Y12)&gt;=1,"",ROW())</f>
        <v>12</v>
      </c>
      <c r="AA12" t="str">
        <f t="shared" si="32"/>
        <v>Business Online</v>
      </c>
      <c r="AC12" t="s">
        <v>198</v>
      </c>
      <c r="AD12">
        <f>IF(COUNTIF(Cert!$E$20:$E$83,AC12)&gt;=1,"",ROW())</f>
        <v>12</v>
      </c>
      <c r="AE12" t="str">
        <f t="shared" si="33"/>
        <v>Exploring Plastering and Dry Lining Principles and Techniques</v>
      </c>
      <c r="AW12" t="s">
        <v>319</v>
      </c>
      <c r="AX12">
        <f>IF(COUNTIF(Cert!$E$20:$E$83,AW12)&gt;=1,"",ROW())</f>
        <v>12</v>
      </c>
      <c r="AY12" t="str">
        <f t="shared" si="38"/>
        <v>Menu Planning</v>
      </c>
      <c r="BA12" t="s">
        <v>337</v>
      </c>
      <c r="BB12">
        <f>IF(COUNTIF(Cert!$E$20:$E$83,BA12)&gt;=1,"",ROW())</f>
        <v>12</v>
      </c>
      <c r="BC12" t="str">
        <f t="shared" si="39"/>
        <v>Installing and Maintaining Computer Hardware</v>
      </c>
      <c r="BE12" t="s">
        <v>372</v>
      </c>
      <c r="BF12">
        <f>IF(COUNTIF(Cert!$E$20:$E$83,BE12)&gt;=1,"",ROW())</f>
        <v>12</v>
      </c>
      <c r="BG12" t="str">
        <f t="shared" si="40"/>
        <v>Producing a Music Recording</v>
      </c>
      <c r="BI12" t="s">
        <v>419</v>
      </c>
      <c r="BJ12">
        <f>IF(COUNTIF(Cert!$E$20:$E$83,BI12)&gt;=1,"",ROW())</f>
        <v>12</v>
      </c>
      <c r="BK12" t="str">
        <f t="shared" si="41"/>
        <v>Physical Theatre Performance</v>
      </c>
      <c r="BM12" t="s">
        <v>413</v>
      </c>
      <c r="BN12">
        <f>IF(COUNTIF(Cert!$E$20:$E$83,BM12)&gt;=1,"",ROW())</f>
        <v>12</v>
      </c>
      <c r="BO12" t="str">
        <f t="shared" si="42"/>
        <v>Make-up for Performance</v>
      </c>
      <c r="BU12" t="s">
        <v>414</v>
      </c>
      <c r="BV12">
        <f>IF(COUNTIF(Cert!$E$20:$E$83,BU12)&gt;=1,"",ROW())</f>
        <v>12</v>
      </c>
      <c r="BW12" t="str">
        <f t="shared" si="44"/>
        <v>Wardrobe for Stage Performance</v>
      </c>
      <c r="CC12" t="s">
        <v>410</v>
      </c>
      <c r="CD12">
        <f>IF(COUNTIF(Cert!$E$20:$E$83,CC12)&gt;=1,"",ROW())</f>
        <v>12</v>
      </c>
      <c r="CE12" t="str">
        <f t="shared" si="46"/>
        <v>Sound for Performance</v>
      </c>
      <c r="CG12" t="s">
        <v>413</v>
      </c>
      <c r="CH12">
        <f>IF(COUNTIF(Cert!$E$20:$E$83,CG12)&gt;=1,"",ROW())</f>
        <v>12</v>
      </c>
      <c r="CI12" t="str">
        <f t="shared" si="47"/>
        <v>Make-up for Performance</v>
      </c>
      <c r="CO12" t="s">
        <v>447</v>
      </c>
      <c r="CP12">
        <f>IF(OR(COUNTIF(Cert!$E$20:$E$83,CO12)&gt;=1,COUNTIF(Cert!$E$20:$E$83,CO8)&gt;=1),"",ROW())</f>
        <v>12</v>
      </c>
      <c r="CQ12" t="str">
        <f t="shared" si="49"/>
        <v>Multi-day Expedition Experience</v>
      </c>
      <c r="CW12" t="s">
        <v>496</v>
      </c>
      <c r="CX12">
        <f>IF(COUNTIF(Cert!$E$20:$E$83,CW12)&gt;=1,"",ROW())</f>
        <v>12</v>
      </c>
      <c r="CY12" t="str">
        <f t="shared" si="51"/>
        <v>Holiday Representatives</v>
      </c>
    </row>
    <row r="13" spans="1:107" x14ac:dyDescent="0.25">
      <c r="U13" t="s">
        <v>127</v>
      </c>
      <c r="V13">
        <f>IF(COUNTIF(Cert!$E$20:$E$83,U13)&gt;=1,"",ROW())</f>
        <v>13</v>
      </c>
      <c r="W13" t="str">
        <f t="shared" si="31"/>
        <v>Painting Briefs</v>
      </c>
      <c r="Y13" t="s">
        <v>168</v>
      </c>
      <c r="Z13">
        <f>IF(COUNTIF(Cert!$E$20:$E$83,Y13)&gt;=1,"",ROW())</f>
        <v>13</v>
      </c>
      <c r="AA13" t="str">
        <f t="shared" si="32"/>
        <v>Public Sector Business</v>
      </c>
      <c r="AC13" t="s">
        <v>204</v>
      </c>
      <c r="AD13">
        <f>IF(COUNTIF(Cert!$E$20:$E$83,AC13)&gt;=1,"",ROW())</f>
        <v>13</v>
      </c>
      <c r="AE13" t="str">
        <f t="shared" si="33"/>
        <v>Tendering and Estimating</v>
      </c>
      <c r="AW13" t="s">
        <v>320</v>
      </c>
      <c r="AX13">
        <f>IF(COUNTIF(Cert!$E$20:$E$83,AW13)&gt;=1,"",ROW())</f>
        <v>13</v>
      </c>
      <c r="AY13" t="str">
        <f t="shared" si="38"/>
        <v>Managing Finance in Hospitality</v>
      </c>
      <c r="BA13" t="s">
        <v>338</v>
      </c>
      <c r="BB13">
        <f>IF(COUNTIF(Cert!$E$20:$E$83,BA13)&gt;=1,"",ROW())</f>
        <v>13</v>
      </c>
      <c r="BC13" t="str">
        <f t="shared" si="39"/>
        <v>Installing and Maintaining Computer Software</v>
      </c>
      <c r="BE13" t="s">
        <v>373</v>
      </c>
      <c r="BF13">
        <f>IF(COUNTIF(Cert!$E$20:$E$83,BE13)&gt;=1,"",ROW())</f>
        <v>13</v>
      </c>
      <c r="BG13" t="str">
        <f t="shared" si="40"/>
        <v>Music Ensemble</v>
      </c>
      <c r="BI13" t="s">
        <v>420</v>
      </c>
      <c r="BJ13">
        <f>IF(COUNTIF(Cert!$E$20:$E$83,BI13)&gt;=1,"",ROW())</f>
        <v>13</v>
      </c>
      <c r="BK13" t="str">
        <f t="shared" si="41"/>
        <v>Variety Performance</v>
      </c>
      <c r="BM13" t="s">
        <v>414</v>
      </c>
      <c r="BN13">
        <f>IF(COUNTIF(Cert!$E$20:$E$83,BM13)&gt;=1,"",ROW())</f>
        <v>13</v>
      </c>
      <c r="BO13" t="str">
        <f t="shared" si="42"/>
        <v>Wardrobe for Stage Performance</v>
      </c>
      <c r="BU13" t="s">
        <v>421</v>
      </c>
      <c r="BV13">
        <f>IF(COUNTIF(Cert!$E$20:$E$83,BU13)&gt;=1,"",ROW())</f>
        <v>13</v>
      </c>
      <c r="BW13" t="str">
        <f t="shared" si="44"/>
        <v>Use of ICT in the Performing Arts</v>
      </c>
      <c r="CC13" t="s">
        <v>413</v>
      </c>
      <c r="CD13">
        <f>IF(COUNTIF(Cert!$E$20:$E$83,CC13)&gt;=1,"",ROW())</f>
        <v>13</v>
      </c>
      <c r="CE13" t="str">
        <f t="shared" si="46"/>
        <v>Make-up for Performance</v>
      </c>
      <c r="CG13" t="s">
        <v>414</v>
      </c>
      <c r="CH13">
        <f>IF(COUNTIF(Cert!$E$20:$E$83,CG13)&gt;=1,"",ROW())</f>
        <v>13</v>
      </c>
      <c r="CI13" t="str">
        <f t="shared" si="47"/>
        <v>Wardrobe for Stage Performance</v>
      </c>
      <c r="CO13" t="s">
        <v>448</v>
      </c>
      <c r="CP13">
        <f>IF(COUNTIF(Cert!$E$20:$E$83,CO13)&gt;=1,"",ROW())</f>
        <v>13</v>
      </c>
      <c r="CQ13" t="str">
        <f t="shared" si="49"/>
        <v>Health and Safety in the Public Services</v>
      </c>
      <c r="CW13" t="s">
        <v>497</v>
      </c>
      <c r="CX13">
        <f>IF(COUNTIF(Cert!$E$20:$E$83,CW13)&gt;=1,"",ROW())</f>
        <v>13</v>
      </c>
      <c r="CY13" t="str">
        <f t="shared" si="51"/>
        <v>UK Travel Agency Operations</v>
      </c>
    </row>
    <row r="14" spans="1:107" x14ac:dyDescent="0.25">
      <c r="U14" t="s">
        <v>112</v>
      </c>
      <c r="V14">
        <f>IF(COUNTIF(Cert!$E$20:$E$83,U14)&gt;=1,"",ROW())</f>
        <v>14</v>
      </c>
      <c r="W14" t="str">
        <f t="shared" si="31"/>
        <v>Practical Research Project in Art and Design</v>
      </c>
      <c r="Y14" t="s">
        <v>169</v>
      </c>
      <c r="Z14">
        <f>IF(COUNTIF(Cert!$E$20:$E$83,Y14)&gt;=1,"",ROW())</f>
        <v>14</v>
      </c>
      <c r="AA14" t="str">
        <f t="shared" si="32"/>
        <v>Enhancing the Customer Experience</v>
      </c>
      <c r="AC14" t="s">
        <v>205</v>
      </c>
      <c r="AD14">
        <f>IF(COUNTIF(Cert!$E$20:$E$83,AC14)&gt;=1,"",ROW())</f>
        <v>14</v>
      </c>
      <c r="AE14" t="str">
        <f t="shared" si="33"/>
        <v>Exploring Surveying</v>
      </c>
      <c r="AW14" t="s">
        <v>321</v>
      </c>
      <c r="AX14">
        <f>IF(COUNTIF(Cert!$E$20:$E$83,AW14)&gt;=1,"",ROW())</f>
        <v>14</v>
      </c>
      <c r="AY14" t="str">
        <f t="shared" si="38"/>
        <v>Alcohol Awareness in Hospitality</v>
      </c>
      <c r="BA14" t="s">
        <v>339</v>
      </c>
      <c r="BB14">
        <f>IF(COUNTIF(Cert!$E$20:$E$83,BA14)&gt;=1,"",ROW())</f>
        <v>14</v>
      </c>
      <c r="BC14" t="str">
        <f t="shared" si="39"/>
        <v>Automated Computer Systems</v>
      </c>
      <c r="BE14" t="s">
        <v>359</v>
      </c>
      <c r="BF14">
        <f>IF(COUNTIF(Cert!$E$20:$E$83,BE14)&gt;=1,"",ROW())</f>
        <v>14</v>
      </c>
      <c r="BG14" t="str">
        <f t="shared" si="40"/>
        <v>Music Showcase</v>
      </c>
      <c r="BI14" t="s">
        <v>389</v>
      </c>
      <c r="BJ14">
        <f>IF(COUNTIF(Cert!$E$20:$E$83,BI14)&gt;=1,"",ROW())</f>
        <v>14</v>
      </c>
      <c r="BK14" t="str">
        <f t="shared" si="41"/>
        <v>Performing Arts Enterprise</v>
      </c>
      <c r="BM14" t="s">
        <v>421</v>
      </c>
      <c r="BN14">
        <f>IF(COUNTIF(Cert!$E$20:$E$83,BM14)&gt;=1,"",ROW())</f>
        <v>14</v>
      </c>
      <c r="BO14" t="str">
        <f t="shared" si="42"/>
        <v>Use of ICT in the Performing Arts</v>
      </c>
      <c r="BU14" t="s">
        <v>422</v>
      </c>
      <c r="BV14">
        <f>IF(COUNTIF(Cert!$E$20:$E$83,BU14)&gt;=1,"",ROW())</f>
        <v>14</v>
      </c>
      <c r="BW14" t="str">
        <f t="shared" si="44"/>
        <v>Work Experience in the Performing Arts</v>
      </c>
      <c r="CC14" t="s">
        <v>414</v>
      </c>
      <c r="CD14">
        <f>IF(COUNTIF(Cert!$E$20:$E$83,CC14)&gt;=1,"",ROW())</f>
        <v>14</v>
      </c>
      <c r="CE14" t="str">
        <f t="shared" si="46"/>
        <v>Wardrobe for Stage Performance</v>
      </c>
      <c r="CG14" t="s">
        <v>388</v>
      </c>
      <c r="CH14">
        <f>IF(COUNTIF(Cert!$E$20:$E$83,CG14)&gt;=1,"",ROW())</f>
        <v>14</v>
      </c>
      <c r="CI14" t="str">
        <f t="shared" si="47"/>
        <v>Community Arts</v>
      </c>
      <c r="CO14" t="s">
        <v>436</v>
      </c>
      <c r="CP14">
        <f>IF(COUNTIF(Cert!$E$20:$E$83,CO14)&gt;=1,"",ROW())</f>
        <v>14</v>
      </c>
      <c r="CQ14" t="str">
        <f t="shared" si="49"/>
        <v>Employability Skills in the Public Services</v>
      </c>
      <c r="CW14" t="s">
        <v>498</v>
      </c>
      <c r="CX14">
        <f>IF(COUNTIF(Cert!$E$20:$E$83,CW14)&gt;=1,"",ROW())</f>
        <v>14</v>
      </c>
      <c r="CY14" t="str">
        <f t="shared" si="51"/>
        <v>The Cruise Industry</v>
      </c>
    </row>
    <row r="15" spans="1:107" x14ac:dyDescent="0.25">
      <c r="U15" t="s">
        <v>131</v>
      </c>
      <c r="V15">
        <f>IF(COUNTIF(Cert!$E$20:$E$83,U15)&gt;=1,"",ROW())</f>
        <v>15</v>
      </c>
      <c r="W15" t="str">
        <f t="shared" si="31"/>
        <v>Moving Image Briefs</v>
      </c>
      <c r="Y15" t="s">
        <v>170</v>
      </c>
      <c r="Z15">
        <f>IF(COUNTIF(Cert!$E$20:$E$83,Y15)&gt;=1,"",ROW())</f>
        <v>15</v>
      </c>
      <c r="AA15" t="str">
        <f t="shared" si="32"/>
        <v>Visual Merchandising in Retail Business</v>
      </c>
      <c r="AC15" t="s">
        <v>206</v>
      </c>
      <c r="AD15">
        <f>IF(COUNTIF(Cert!$E$20:$E$83,AC15)&gt;=1,"",ROW())</f>
        <v>15</v>
      </c>
      <c r="AE15" t="str">
        <f t="shared" si="33"/>
        <v>Exploring Civil Engineering</v>
      </c>
      <c r="AW15" t="s">
        <v>309</v>
      </c>
      <c r="AX15">
        <f>IF(COUNTIF(Cert!$E$20:$E$83,AW15)&gt;=1,"",ROW())</f>
        <v>15</v>
      </c>
      <c r="AY15" t="str">
        <f t="shared" si="38"/>
        <v>Delivering the Hospitality Customer Experience</v>
      </c>
      <c r="BA15" t="s">
        <v>330</v>
      </c>
      <c r="BB15">
        <f>IF(COUNTIF(Cert!$E$20:$E$83,BA15)&gt;=1,"",ROW())</f>
        <v>15</v>
      </c>
      <c r="BC15" t="str">
        <f t="shared" si="39"/>
        <v>Multimedia Products Development</v>
      </c>
      <c r="BE15" t="s">
        <v>360</v>
      </c>
      <c r="BF15">
        <f>IF(COUNTIF(Cert!$E$20:$E$83,BE15)&gt;=1,"",ROW())</f>
        <v>15</v>
      </c>
      <c r="BG15" t="str">
        <f t="shared" si="40"/>
        <v>Researching a Music Topic</v>
      </c>
      <c r="BI15" t="s">
        <v>423</v>
      </c>
      <c r="BJ15">
        <f>IF(COUNTIF(Cert!$E$20:$E$83,BI15)&gt;=1,"",ROW())</f>
        <v>15</v>
      </c>
      <c r="BK15" t="str">
        <f t="shared" si="41"/>
        <v>Singing Skills in the Performing Arts</v>
      </c>
      <c r="BM15" t="s">
        <v>422</v>
      </c>
      <c r="BN15">
        <f>IF(COUNTIF(Cert!$E$20:$E$83,BM15)&gt;=1,"",ROW())</f>
        <v>15</v>
      </c>
      <c r="BO15" t="str">
        <f t="shared" si="42"/>
        <v>Work Experience in the Performing Arts</v>
      </c>
      <c r="CG15" t="s">
        <v>417</v>
      </c>
      <c r="CH15">
        <f>IF(COUNTIF(Cert!$E$20:$E$83,CG15)&gt;=1,"",ROW())</f>
        <v>15</v>
      </c>
      <c r="CI15" t="str">
        <f t="shared" si="47"/>
        <v>Planning and Managing a Performing Arts Event</v>
      </c>
      <c r="CO15" t="s">
        <v>449</v>
      </c>
      <c r="CP15">
        <f>IF(COUNTIF(Cert!$E$20:$E$83,CO15)&gt;=1,"",ROW())</f>
        <v>15</v>
      </c>
      <c r="CQ15" t="str">
        <f t="shared" si="49"/>
        <v>Preparing to Respond to Emergency Incidents</v>
      </c>
      <c r="CW15" t="s">
        <v>499</v>
      </c>
      <c r="CX15">
        <f>IF(COUNTIF(Cert!$E$20:$E$83,CW15)&gt;=1,"",ROW())</f>
        <v>15</v>
      </c>
      <c r="CY15" t="str">
        <f t="shared" si="51"/>
        <v>Hospitality Operations in the Travel and Tourism Sector</v>
      </c>
    </row>
    <row r="16" spans="1:107" x14ac:dyDescent="0.25">
      <c r="U16" t="s">
        <v>133</v>
      </c>
      <c r="V16">
        <f>IF(COUNTIF(Cert!$E$20:$E$83,U16)&gt;=1,"",ROW())</f>
        <v>16</v>
      </c>
      <c r="W16" t="str">
        <f t="shared" si="31"/>
        <v>Printmaking Briefs</v>
      </c>
      <c r="Y16" t="s">
        <v>156</v>
      </c>
      <c r="Z16">
        <f>IF(COUNTIF(Cert!$E$20:$E$83,Y16)&gt;=1,"",ROW())</f>
        <v>16</v>
      </c>
      <c r="AA16" t="str">
        <f t="shared" si="32"/>
        <v>Small Business Planning</v>
      </c>
      <c r="AC16" t="s">
        <v>207</v>
      </c>
      <c r="AD16">
        <f>IF(COUNTIF(Cert!$E$20:$E$83,AC16)&gt;=1,"",ROW())</f>
        <v>16</v>
      </c>
      <c r="AE16" t="str">
        <f t="shared" si="33"/>
        <v>Exploring Building Services Engineering</v>
      </c>
      <c r="AW16" t="s">
        <v>323</v>
      </c>
      <c r="AX16">
        <f>IF(COUNTIF(Cert!$E$20:$E$83,AW16)&gt;=1,"",ROW())</f>
        <v>16</v>
      </c>
      <c r="AY16" t="str">
        <f t="shared" si="38"/>
        <v>Work Experience in Hospitality</v>
      </c>
      <c r="BA16" t="s">
        <v>331</v>
      </c>
      <c r="BB16">
        <f>IF(COUNTIF(Cert!$E$20:$E$83,BA16)&gt;=1,"",ROW())</f>
        <v>16</v>
      </c>
      <c r="BC16" t="str">
        <f t="shared" si="39"/>
        <v>Computational Thinking</v>
      </c>
      <c r="BE16" t="s">
        <v>374</v>
      </c>
      <c r="BF16">
        <f>IF(COUNTIF(Cert!$E$20:$E$83,BE16)&gt;=1,"",ROW())</f>
        <v>16</v>
      </c>
      <c r="BG16" t="str">
        <f t="shared" si="40"/>
        <v>Developing Modern Music Production Skills</v>
      </c>
      <c r="CG16" t="s">
        <v>418</v>
      </c>
      <c r="CH16">
        <f>IF(COUNTIF(Cert!$E$20:$E$83,CG16)&gt;=1,"",ROW())</f>
        <v>16</v>
      </c>
      <c r="CI16" t="str">
        <f t="shared" si="47"/>
        <v>Multimedia Production</v>
      </c>
      <c r="CO16" t="s">
        <v>450</v>
      </c>
      <c r="CP16">
        <f>IF(COUNTIF(Cert!$E$20:$E$83,CO16)&gt;=1,"",ROW())</f>
        <v>16</v>
      </c>
      <c r="CQ16" t="str">
        <f t="shared" si="49"/>
        <v>Security Procedures in the Public Services</v>
      </c>
      <c r="CW16" t="s">
        <v>500</v>
      </c>
      <c r="CX16">
        <f>IF(COUNTIF(Cert!$E$20:$E$83,CW16)&gt;=1,"",ROW())</f>
        <v>16</v>
      </c>
      <c r="CY16" t="str">
        <f t="shared" si="51"/>
        <v>UK Visitor Attractions</v>
      </c>
    </row>
    <row r="17" spans="21:95" x14ac:dyDescent="0.25">
      <c r="U17" t="s">
        <v>134</v>
      </c>
      <c r="V17">
        <f>IF(COUNTIF(Cert!$E$20:$E$83,U17)&gt;=1,"",ROW())</f>
        <v>17</v>
      </c>
      <c r="W17" t="str">
        <f t="shared" si="31"/>
        <v>Drawing from Observation</v>
      </c>
      <c r="Y17" t="s">
        <v>157</v>
      </c>
      <c r="Z17">
        <f>IF(COUNTIF(Cert!$E$20:$E$83,Y17)&gt;=1,"",ROW())</f>
        <v>17</v>
      </c>
      <c r="AA17" t="str">
        <f t="shared" si="32"/>
        <v>Introducing Project Management</v>
      </c>
      <c r="AC17" t="s">
        <v>208</v>
      </c>
      <c r="AD17">
        <f>IF(COUNTIF(Cert!$E$20:$E$83,AC17)&gt;=1,"",ROW())</f>
        <v>17</v>
      </c>
      <c r="AE17" t="str">
        <f t="shared" si="33"/>
        <v>Exploring Facilities Management</v>
      </c>
      <c r="AW17" t="s">
        <v>326</v>
      </c>
      <c r="AX17">
        <f>IF(COUNTIF(Cert!$E$20:$E$83,AW17)&gt;=1,"",ROW())</f>
        <v>17</v>
      </c>
      <c r="AY17" t="str">
        <f t="shared" si="38"/>
        <v>Barista Skills in Hospitality</v>
      </c>
      <c r="BA17" t="s">
        <v>332</v>
      </c>
      <c r="BB17">
        <f>IF(COUNTIF(Cert!$E$20:$E$83,BA17)&gt;=1,"",ROW())</f>
        <v>17</v>
      </c>
      <c r="BC17" t="str">
        <f t="shared" si="39"/>
        <v>Computing in the Workplace</v>
      </c>
      <c r="BE17" t="s">
        <v>375</v>
      </c>
      <c r="BF17">
        <f>IF(COUNTIF(Cert!$E$20:$E$83,BE17)&gt;=1,"",ROW())</f>
        <v>17</v>
      </c>
      <c r="BG17" t="str">
        <f t="shared" si="40"/>
        <v>Developing Music Theory</v>
      </c>
      <c r="CG17" t="s">
        <v>389</v>
      </c>
      <c r="CH17">
        <f>IF(COUNTIF(Cert!$E$20:$E$83,CG17)&gt;=1,"",ROW())</f>
        <v>17</v>
      </c>
      <c r="CI17" t="str">
        <f t="shared" si="47"/>
        <v>Performing Arts Enterprise</v>
      </c>
      <c r="CO17" t="s">
        <v>437</v>
      </c>
      <c r="CP17">
        <f>IF(COUNTIF(Cert!$E$20:$E$83,CO17)&gt;=1,"",ROW())</f>
        <v>17</v>
      </c>
      <c r="CQ17" t="str">
        <f t="shared" si="49"/>
        <v>Carrying out a Project in Public Services</v>
      </c>
    </row>
    <row r="18" spans="21:95" x14ac:dyDescent="0.25">
      <c r="U18" t="s">
        <v>135</v>
      </c>
      <c r="V18">
        <f>IF(COUNTIF(Cert!$E$20:$E$83,U18)&gt;=1,"",ROW())</f>
        <v>18</v>
      </c>
      <c r="W18" t="str">
        <f t="shared" si="31"/>
        <v>Ceramics</v>
      </c>
      <c r="Y18" t="s">
        <v>171</v>
      </c>
      <c r="Z18">
        <f>IF(COUNTIF(Cert!$E$20:$E$83,Y18)&gt;=1,"",ROW())</f>
        <v>18</v>
      </c>
      <c r="AA18" t="str">
        <f t="shared" si="32"/>
        <v>Delivering and Improving Customer Service</v>
      </c>
      <c r="BA18" t="s">
        <v>350</v>
      </c>
      <c r="BB18">
        <f>IF(COUNTIF(Cert!$E$20:$E$83,BA18)&gt;=1,"",ROW())</f>
        <v>18</v>
      </c>
      <c r="BC18" t="str">
        <f t="shared" si="39"/>
        <v>Building a Personal Computer</v>
      </c>
      <c r="BE18" t="s">
        <v>376</v>
      </c>
      <c r="BF18">
        <f>IF(COUNTIF(Cert!$E$20:$E$83,BE18)&gt;=1,"",ROW())</f>
        <v>18</v>
      </c>
      <c r="BG18" t="str">
        <f t="shared" si="40"/>
        <v>Music Fusion</v>
      </c>
      <c r="CG18" t="s">
        <v>421</v>
      </c>
      <c r="CH18">
        <f>IF(COUNTIF(Cert!$E$20:$E$83,CG18)&gt;=1,"",ROW())</f>
        <v>18</v>
      </c>
      <c r="CI18" t="str">
        <f t="shared" si="47"/>
        <v>Use of ICT in the Performing Arts</v>
      </c>
      <c r="CO18" t="s">
        <v>451</v>
      </c>
      <c r="CP18">
        <f>IF(COUNTIF(Cert!$E$20:$E$83,CO18)&gt;=1,"",ROW())</f>
        <v>18</v>
      </c>
      <c r="CQ18" t="str">
        <f t="shared" si="49"/>
        <v>Law and its Impact on the Individual</v>
      </c>
    </row>
    <row r="19" spans="21:95" x14ac:dyDescent="0.25">
      <c r="U19" t="s">
        <v>142</v>
      </c>
      <c r="V19">
        <f>IF(COUNTIF(Cert!$E$20:$E$83,U19)&gt;=1,"",ROW())</f>
        <v>19</v>
      </c>
      <c r="W19" t="str">
        <f t="shared" si="31"/>
        <v>Sustainability in Art and Design Practice</v>
      </c>
      <c r="Y19" t="s">
        <v>172</v>
      </c>
      <c r="Z19">
        <f>IF(COUNTIF(Cert!$E$20:$E$83,Y19)&gt;=1,"",ROW())</f>
        <v>19</v>
      </c>
      <c r="AA19" t="str">
        <f t="shared" si="32"/>
        <v>Effective Business Communication</v>
      </c>
      <c r="BA19" t="s">
        <v>340</v>
      </c>
      <c r="BB19">
        <f>IF(COUNTIF(Cert!$E$20:$E$83,BA19)&gt;=1,"",ROW())</f>
        <v>19</v>
      </c>
      <c r="BC19" t="str">
        <f t="shared" si="39"/>
        <v>A Technology Business</v>
      </c>
      <c r="BE19" t="s">
        <v>377</v>
      </c>
      <c r="BF19">
        <f>IF(COUNTIF(Cert!$E$20:$E$83,BE19)&gt;=1,"",ROW())</f>
        <v>19</v>
      </c>
      <c r="BG19" t="str">
        <f t="shared" si="40"/>
        <v>Music Arrangement</v>
      </c>
      <c r="CG19" t="s">
        <v>422</v>
      </c>
      <c r="CH19">
        <f>IF(COUNTIF(Cert!$E$20:$E$83,CG19)&gt;=1,"",ROW())</f>
        <v>19</v>
      </c>
      <c r="CI19" t="str">
        <f t="shared" si="47"/>
        <v>Work Experience in the Performing Arts</v>
      </c>
    </row>
    <row r="20" spans="21:95" x14ac:dyDescent="0.25">
      <c r="U20" t="s">
        <v>144</v>
      </c>
      <c r="V20">
        <f>IF(COUNTIF(Cert!$E$20:$E$83,U20)&gt;=1,"",ROW())</f>
        <v>20</v>
      </c>
      <c r="W20" t="str">
        <f t="shared" si="31"/>
        <v>Modelmaking</v>
      </c>
      <c r="Y20" t="s">
        <v>173</v>
      </c>
      <c r="Z20">
        <f>IF(COUNTIF(Cert!$E$20:$E$83,Y20)&gt;=1,"",ROW())</f>
        <v>20</v>
      </c>
      <c r="AA20" t="str">
        <f t="shared" si="32"/>
        <v>Working in Business Teams</v>
      </c>
      <c r="BA20" t="s">
        <v>341</v>
      </c>
      <c r="BB20">
        <f>IF(COUNTIF(Cert!$E$20:$E$83,BA20)&gt;=1,"",ROW())</f>
        <v>20</v>
      </c>
      <c r="BC20" t="str">
        <f t="shared" si="39"/>
        <v>Computer Security in Practice</v>
      </c>
      <c r="BE20" t="s">
        <v>378</v>
      </c>
      <c r="BF20">
        <f>IF(COUNTIF(Cert!$E$20:$E$83,BE20)&gt;=1,"",ROW())</f>
        <v>20</v>
      </c>
      <c r="BG20" t="str">
        <f t="shared" si="40"/>
        <v>Exploring Music Improvisation</v>
      </c>
    </row>
    <row r="21" spans="21:95" x14ac:dyDescent="0.25">
      <c r="U21" t="s">
        <v>145</v>
      </c>
      <c r="V21">
        <f>IF(OR(COUNTIF(Cert!$E$20:$E$83,U21)&gt;=1,COUNTIF(Cert!$E$20:$E$83,U2)&gt;=1),"",ROW())</f>
        <v>21</v>
      </c>
      <c r="W21" t="str">
        <f t="shared" si="31"/>
        <v>Sculpture</v>
      </c>
      <c r="Y21" t="s">
        <v>174</v>
      </c>
      <c r="Z21">
        <f>IF(COUNTIF(Cert!$E$20:$E$83,Y21)&gt;=1,"",ROW())</f>
        <v>21</v>
      </c>
      <c r="AA21" t="str">
        <f t="shared" si="32"/>
        <v>Planning, Forecasting and Recording Business Finances</v>
      </c>
      <c r="BA21" t="s">
        <v>342</v>
      </c>
      <c r="BB21">
        <f>IF(COUNTIF(Cert!$E$20:$E$83,BA21)&gt;=1,"",ROW())</f>
        <v>21</v>
      </c>
      <c r="BC21" t="str">
        <f t="shared" si="39"/>
        <v>Computer Systems Support in Practice</v>
      </c>
      <c r="BE21" t="s">
        <v>379</v>
      </c>
      <c r="BF21">
        <f>IF(COUNTIF(Cert!$E$20:$E$83,BE21)&gt;=1,"",ROW())</f>
        <v>21</v>
      </c>
      <c r="BG21" t="str">
        <f t="shared" si="40"/>
        <v>Exploring DJing</v>
      </c>
    </row>
    <row r="22" spans="21:95" x14ac:dyDescent="0.25">
      <c r="Y22" t="s">
        <v>175</v>
      </c>
      <c r="Z22">
        <f>IF(OR(COUNTIF(Cert!$E$20:$E$83,Y7)&gt;=1,COUNTIF(Cert!$E$20:$E$83,Y22)&gt;=1),"",ROW())</f>
        <v>22</v>
      </c>
      <c r="AA22" t="str">
        <f t="shared" si="32"/>
        <v>Work Experience in Business</v>
      </c>
      <c r="BA22" t="s">
        <v>343</v>
      </c>
      <c r="BB22">
        <f>IF(COUNTIF(Cert!$E$20:$E$83,BA22)&gt;=1,"",ROW())</f>
        <v>22</v>
      </c>
      <c r="BC22" t="str">
        <f t="shared" si="39"/>
        <v>Software Systems Development</v>
      </c>
      <c r="BE22" t="s">
        <v>380</v>
      </c>
      <c r="BF22">
        <f>IF(COUNTIF(Cert!$E$20:$E$83,BE22)&gt;=1,"",ROW())</f>
        <v>22</v>
      </c>
      <c r="BG22" t="str">
        <f t="shared" si="40"/>
        <v>Music Promotion</v>
      </c>
    </row>
    <row r="23" spans="21:95" x14ac:dyDescent="0.25">
      <c r="Y23" t="s">
        <v>176</v>
      </c>
      <c r="Z23">
        <f>IF(COUNTIF(Cert!$E$20:$E$83,Y23)&gt;=1,"",ROW())</f>
        <v>23</v>
      </c>
      <c r="AA23" t="str">
        <f t="shared" si="32"/>
        <v>Introducing International Business</v>
      </c>
      <c r="BA23" t="s">
        <v>351</v>
      </c>
      <c r="BB23">
        <f>IF(COUNTIF(Cert!$E$20:$E$83,BA23)&gt;=1,"",ROW())</f>
        <v>23</v>
      </c>
      <c r="BC23" t="str">
        <f t="shared" si="39"/>
        <v>IT Work Experience</v>
      </c>
      <c r="BE23" t="s">
        <v>381</v>
      </c>
      <c r="BF23">
        <f>IF(COUNTIF(Cert!$E$20:$E$83,BE23)&gt;=1,"",ROW())</f>
        <v>23</v>
      </c>
      <c r="BG23" t="str">
        <f t="shared" si="40"/>
        <v>Digital and Mobile Technology for Music</v>
      </c>
    </row>
    <row r="24" spans="21:95" x14ac:dyDescent="0.25">
      <c r="Y24" t="s">
        <v>177</v>
      </c>
      <c r="Z24">
        <f>IF(COUNTIF(Cert!$E$20:$E$83,Y24)&gt;=1,"",ROW())</f>
        <v>24</v>
      </c>
      <c r="AA24" t="str">
        <f t="shared" si="32"/>
        <v>Introducing the Economic Environment</v>
      </c>
      <c r="BE24" t="s">
        <v>382</v>
      </c>
      <c r="BF24">
        <f>IF(COUNTIF(Cert!$E$20:$E$83,BE24)&gt;=1,"",ROW())</f>
        <v>24</v>
      </c>
      <c r="BG24" t="str">
        <f t="shared" si="40"/>
        <v>Composing for Visual Media</v>
      </c>
    </row>
    <row r="25" spans="21:95" x14ac:dyDescent="0.25">
      <c r="Y25" t="s">
        <v>178</v>
      </c>
      <c r="Z25">
        <f>IF(COUNTIF(Cert!$E$20:$E$83,Y25)&gt;=1,"",ROW())</f>
        <v>25</v>
      </c>
      <c r="AA25" t="str">
        <f t="shared" si="32"/>
        <v>Efficient Business Operations</v>
      </c>
      <c r="BE25" t="s">
        <v>383</v>
      </c>
      <c r="BF25">
        <f>IF(COUNTIF(Cert!$E$20:$E$83,BE25)&gt;=1,"",ROW())</f>
        <v>25</v>
      </c>
      <c r="BG25" t="str">
        <f t="shared" si="40"/>
        <v>Enterprise and Music</v>
      </c>
    </row>
    <row r="26" spans="21:95" x14ac:dyDescent="0.25">
      <c r="Y26" t="s">
        <v>179</v>
      </c>
      <c r="Z26">
        <f>IF(COUNTIF(Cert!$E$20:$E$83,Y26)&gt;=1,"",ROW())</f>
        <v>26</v>
      </c>
      <c r="AA26" t="str">
        <f t="shared" si="32"/>
        <v>Principles of Procurement and Supply</v>
      </c>
      <c r="BE26" t="s">
        <v>361</v>
      </c>
      <c r="BF26">
        <f>IF(COUNTIF(Cert!$E$20:$E$83,BE26)&gt;=1,"",ROW())</f>
        <v>26</v>
      </c>
      <c r="BG26" t="str">
        <f t="shared" si="40"/>
        <v>Professional Skills in Music</v>
      </c>
    </row>
    <row r="27" spans="21:95" x14ac:dyDescent="0.25">
      <c r="Y27" t="s">
        <v>180</v>
      </c>
      <c r="Z27">
        <f>IF(COUNTIF(Cert!$E$20:$E$83,Y27)&gt;=1,"",ROW())</f>
        <v>27</v>
      </c>
      <c r="AA27" t="str">
        <f t="shared" si="32"/>
        <v>Implementing Procurement and Supply in Business</v>
      </c>
    </row>
    <row r="28" spans="21:95" x14ac:dyDescent="0.25">
      <c r="Y28" t="s">
        <v>181</v>
      </c>
      <c r="Z28">
        <f>IF(COUNTIF(Cert!$E$20:$E$83,Y28)&gt;=1,"",ROW())</f>
        <v>28</v>
      </c>
      <c r="AA28" t="str">
        <f t="shared" si="32"/>
        <v>Corporate Social Responsibility</v>
      </c>
    </row>
    <row r="29" spans="21:95" x14ac:dyDescent="0.25">
      <c r="Y29" t="s">
        <v>182</v>
      </c>
      <c r="Z29">
        <f>IF(COUNTIF(Cert!$E$20:$E$83,Y29)&gt;=1,"",ROW())</f>
        <v>29</v>
      </c>
      <c r="AA29" t="str">
        <f t="shared" si="32"/>
        <v>Managing Personal Finances</v>
      </c>
    </row>
    <row r="30" spans="21:95" x14ac:dyDescent="0.25">
      <c r="Y30" t="s">
        <v>183</v>
      </c>
      <c r="Z30">
        <f>IF(COUNTIF(Cert!$E$20:$E$83,Y30)&gt;=1,"",ROW())</f>
        <v>30</v>
      </c>
      <c r="AA30" t="str">
        <f t="shared" si="32"/>
        <v>Sustainability in the Business Workplace</v>
      </c>
    </row>
    <row r="39" spans="49:52" x14ac:dyDescent="0.25">
      <c r="AW39" t="s">
        <v>502</v>
      </c>
      <c r="AY39" t="s">
        <v>513</v>
      </c>
      <c r="AZ39" t="s">
        <v>504</v>
      </c>
    </row>
    <row r="40" spans="49:52" x14ac:dyDescent="0.25">
      <c r="AW40">
        <f>COUNTIF(Cert!$E$20:$E$27, "Planning, Preparing, Cooking and Finishing Food")</f>
        <v>0</v>
      </c>
      <c r="AY40">
        <f>COUNTIF(Cert!$E$20:$E$27, "Contemporary World Food Cooking Skills")</f>
        <v>0</v>
      </c>
      <c r="AZ40" s="9">
        <f>IF(AND(AW40=0,AY40=1),1,0)</f>
        <v>0</v>
      </c>
    </row>
    <row r="41" spans="49:52" x14ac:dyDescent="0.25">
      <c r="AW41" t="s">
        <v>514</v>
      </c>
      <c r="AY41" t="s">
        <v>503</v>
      </c>
      <c r="AZ41" t="s">
        <v>504</v>
      </c>
    </row>
    <row r="42" spans="49:52" x14ac:dyDescent="0.25">
      <c r="AW42">
        <f>COUNTIF(Cert!$E$20:$E$27, "Costing and Controlling Finances in the Hospitality Industry")</f>
        <v>0</v>
      </c>
      <c r="AY42">
        <f>COUNTIF(Cert!$E$20:$E$27, "Managing Finance in Hospitality")</f>
        <v>0</v>
      </c>
      <c r="AZ42" s="9">
        <f>IF(AND(AW42=0,AY42=1),1,0)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85"/>
  <sheetViews>
    <sheetView topLeftCell="C298" workbookViewId="0">
      <selection activeCell="AH1" sqref="AH1:AH1048576"/>
    </sheetView>
  </sheetViews>
  <sheetFormatPr defaultRowHeight="15" x14ac:dyDescent="0.25"/>
  <cols>
    <col min="1" max="1" width="36.7109375" bestFit="1" customWidth="1"/>
    <col min="2" max="2" width="12.140625" bestFit="1" customWidth="1"/>
    <col min="3" max="3" width="53" bestFit="1" customWidth="1"/>
    <col min="4" max="4" width="4.42578125" bestFit="1" customWidth="1"/>
    <col min="5" max="5" width="16.140625" bestFit="1" customWidth="1"/>
    <col min="7" max="7" width="56.7109375" bestFit="1" customWidth="1"/>
    <col min="8" max="8" width="15.28515625" bestFit="1" customWidth="1"/>
    <col min="15" max="15" width="39.28515625" customWidth="1"/>
  </cols>
  <sheetData>
    <row r="1" spans="1:19" x14ac:dyDescent="0.25">
      <c r="A1" t="s">
        <v>8</v>
      </c>
      <c r="H1" t="s">
        <v>23</v>
      </c>
      <c r="O1" t="s">
        <v>246</v>
      </c>
    </row>
    <row r="2" spans="1:19" x14ac:dyDescent="0.25">
      <c r="A2" t="s">
        <v>9</v>
      </c>
      <c r="B2" t="s">
        <v>10</v>
      </c>
      <c r="C2" t="s">
        <v>7</v>
      </c>
      <c r="D2" t="s">
        <v>0</v>
      </c>
      <c r="E2" t="s">
        <v>11</v>
      </c>
      <c r="H2" t="s">
        <v>9</v>
      </c>
      <c r="I2" t="s">
        <v>6</v>
      </c>
      <c r="J2" t="s">
        <v>7</v>
      </c>
      <c r="K2" t="s">
        <v>0</v>
      </c>
      <c r="L2" t="s">
        <v>11</v>
      </c>
      <c r="O2" t="s">
        <v>9</v>
      </c>
      <c r="P2" t="s">
        <v>6</v>
      </c>
      <c r="Q2" t="s">
        <v>7</v>
      </c>
      <c r="R2" t="s">
        <v>0</v>
      </c>
      <c r="S2" t="s">
        <v>11</v>
      </c>
    </row>
    <row r="3" spans="1:19" x14ac:dyDescent="0.25">
      <c r="A3" t="s">
        <v>12</v>
      </c>
      <c r="B3">
        <v>1</v>
      </c>
      <c r="C3" t="s">
        <v>13</v>
      </c>
      <c r="D3">
        <v>30</v>
      </c>
      <c r="E3" t="s">
        <v>21</v>
      </c>
      <c r="G3" t="s">
        <v>24</v>
      </c>
      <c r="H3" t="s">
        <v>12</v>
      </c>
      <c r="I3">
        <v>9</v>
      </c>
      <c r="J3" t="s">
        <v>24</v>
      </c>
      <c r="K3">
        <v>30</v>
      </c>
      <c r="L3" t="s">
        <v>22</v>
      </c>
      <c r="N3" t="s">
        <v>66</v>
      </c>
      <c r="O3" t="s">
        <v>60</v>
      </c>
      <c r="P3">
        <v>4</v>
      </c>
      <c r="Q3" t="s">
        <v>66</v>
      </c>
      <c r="R3">
        <v>30</v>
      </c>
      <c r="S3" t="s">
        <v>22</v>
      </c>
    </row>
    <row r="4" spans="1:19" x14ac:dyDescent="0.25">
      <c r="A4" t="s">
        <v>12</v>
      </c>
      <c r="B4">
        <v>2</v>
      </c>
      <c r="C4" t="s">
        <v>14</v>
      </c>
      <c r="D4">
        <v>30</v>
      </c>
      <c r="E4" t="s">
        <v>22</v>
      </c>
      <c r="G4" t="s">
        <v>25</v>
      </c>
      <c r="H4" t="s">
        <v>12</v>
      </c>
      <c r="I4">
        <v>10</v>
      </c>
      <c r="J4" t="s">
        <v>25</v>
      </c>
      <c r="K4">
        <v>30</v>
      </c>
      <c r="L4" t="s">
        <v>22</v>
      </c>
      <c r="N4" t="s">
        <v>247</v>
      </c>
      <c r="O4" t="s">
        <v>60</v>
      </c>
      <c r="P4">
        <v>6</v>
      </c>
      <c r="Q4" t="s">
        <v>247</v>
      </c>
      <c r="R4">
        <v>30</v>
      </c>
      <c r="S4" t="s">
        <v>22</v>
      </c>
    </row>
    <row r="5" spans="1:19" x14ac:dyDescent="0.25">
      <c r="A5" t="s">
        <v>12</v>
      </c>
      <c r="B5">
        <v>3</v>
      </c>
      <c r="C5" t="s">
        <v>15</v>
      </c>
      <c r="D5">
        <v>30</v>
      </c>
      <c r="E5" t="s">
        <v>22</v>
      </c>
      <c r="G5" t="s">
        <v>26</v>
      </c>
      <c r="H5" t="s">
        <v>12</v>
      </c>
      <c r="I5">
        <v>11</v>
      </c>
      <c r="J5" t="s">
        <v>26</v>
      </c>
      <c r="K5">
        <v>30</v>
      </c>
      <c r="L5" t="s">
        <v>22</v>
      </c>
      <c r="N5" t="s">
        <v>248</v>
      </c>
      <c r="O5" t="s">
        <v>60</v>
      </c>
      <c r="P5">
        <v>11</v>
      </c>
      <c r="Q5" t="s">
        <v>248</v>
      </c>
      <c r="R5">
        <v>30</v>
      </c>
      <c r="S5" t="s">
        <v>22</v>
      </c>
    </row>
    <row r="6" spans="1:19" x14ac:dyDescent="0.25">
      <c r="A6" t="s">
        <v>12</v>
      </c>
      <c r="B6">
        <v>4</v>
      </c>
      <c r="C6" t="s">
        <v>16</v>
      </c>
      <c r="D6">
        <v>30</v>
      </c>
      <c r="E6" t="s">
        <v>22</v>
      </c>
      <c r="G6" t="s">
        <v>27</v>
      </c>
      <c r="H6" t="s">
        <v>12</v>
      </c>
      <c r="I6">
        <v>12</v>
      </c>
      <c r="J6" t="s">
        <v>27</v>
      </c>
      <c r="K6">
        <v>30</v>
      </c>
      <c r="L6" t="s">
        <v>22</v>
      </c>
      <c r="N6" t="s">
        <v>249</v>
      </c>
      <c r="O6" t="s">
        <v>60</v>
      </c>
      <c r="P6">
        <v>13</v>
      </c>
      <c r="Q6" t="s">
        <v>249</v>
      </c>
      <c r="R6">
        <v>30</v>
      </c>
      <c r="S6" t="s">
        <v>22</v>
      </c>
    </row>
    <row r="7" spans="1:19" x14ac:dyDescent="0.25">
      <c r="A7" t="s">
        <v>12</v>
      </c>
      <c r="B7">
        <v>5</v>
      </c>
      <c r="C7" t="s">
        <v>17</v>
      </c>
      <c r="D7">
        <v>30</v>
      </c>
      <c r="E7" t="s">
        <v>22</v>
      </c>
      <c r="G7" t="s">
        <v>28</v>
      </c>
      <c r="H7" t="s">
        <v>12</v>
      </c>
      <c r="I7">
        <v>13</v>
      </c>
      <c r="J7" t="s">
        <v>28</v>
      </c>
      <c r="K7">
        <v>30</v>
      </c>
      <c r="L7" t="s">
        <v>22</v>
      </c>
      <c r="N7" t="s">
        <v>250</v>
      </c>
      <c r="O7" t="s">
        <v>60</v>
      </c>
      <c r="P7">
        <v>14</v>
      </c>
      <c r="Q7" t="s">
        <v>250</v>
      </c>
      <c r="R7">
        <v>30</v>
      </c>
      <c r="S7" t="s">
        <v>22</v>
      </c>
    </row>
    <row r="8" spans="1:19" x14ac:dyDescent="0.25">
      <c r="A8" t="s">
        <v>12</v>
      </c>
      <c r="B8">
        <v>6</v>
      </c>
      <c r="C8" t="s">
        <v>18</v>
      </c>
      <c r="D8">
        <v>30</v>
      </c>
      <c r="E8" t="s">
        <v>22</v>
      </c>
      <c r="G8" t="s">
        <v>29</v>
      </c>
      <c r="H8" t="s">
        <v>12</v>
      </c>
      <c r="I8">
        <v>14</v>
      </c>
      <c r="J8" t="s">
        <v>29</v>
      </c>
      <c r="K8">
        <v>30</v>
      </c>
      <c r="L8" t="s">
        <v>22</v>
      </c>
      <c r="N8" t="s">
        <v>251</v>
      </c>
      <c r="O8" t="s">
        <v>60</v>
      </c>
      <c r="P8">
        <v>16</v>
      </c>
      <c r="Q8" t="s">
        <v>251</v>
      </c>
      <c r="R8">
        <v>30</v>
      </c>
      <c r="S8" t="s">
        <v>22</v>
      </c>
    </row>
    <row r="9" spans="1:19" x14ac:dyDescent="0.25">
      <c r="A9" t="s">
        <v>12</v>
      </c>
      <c r="B9">
        <v>7</v>
      </c>
      <c r="C9" t="s">
        <v>19</v>
      </c>
      <c r="D9">
        <v>30</v>
      </c>
      <c r="E9" t="s">
        <v>22</v>
      </c>
      <c r="G9" t="s">
        <v>30</v>
      </c>
      <c r="H9" t="s">
        <v>12</v>
      </c>
      <c r="I9">
        <v>15</v>
      </c>
      <c r="J9" t="s">
        <v>30</v>
      </c>
      <c r="K9">
        <v>30</v>
      </c>
      <c r="L9" t="s">
        <v>22</v>
      </c>
      <c r="N9" t="s">
        <v>252</v>
      </c>
      <c r="O9" t="s">
        <v>60</v>
      </c>
      <c r="P9">
        <v>17</v>
      </c>
      <c r="Q9" t="s">
        <v>252</v>
      </c>
      <c r="R9">
        <v>60</v>
      </c>
      <c r="S9" t="s">
        <v>22</v>
      </c>
    </row>
    <row r="10" spans="1:19" x14ac:dyDescent="0.25">
      <c r="A10" t="s">
        <v>12</v>
      </c>
      <c r="B10">
        <v>8</v>
      </c>
      <c r="C10" t="s">
        <v>20</v>
      </c>
      <c r="D10">
        <v>30</v>
      </c>
      <c r="E10" t="s">
        <v>21</v>
      </c>
      <c r="G10" t="s">
        <v>31</v>
      </c>
      <c r="H10" t="s">
        <v>12</v>
      </c>
      <c r="I10">
        <v>16</v>
      </c>
      <c r="J10" t="s">
        <v>31</v>
      </c>
      <c r="K10">
        <v>30</v>
      </c>
      <c r="L10" t="s">
        <v>22</v>
      </c>
      <c r="N10" t="s">
        <v>253</v>
      </c>
      <c r="O10" t="s">
        <v>60</v>
      </c>
      <c r="P10">
        <v>19</v>
      </c>
      <c r="Q10" t="s">
        <v>253</v>
      </c>
      <c r="R10">
        <v>30</v>
      </c>
      <c r="S10" t="s">
        <v>22</v>
      </c>
    </row>
    <row r="11" spans="1:19" x14ac:dyDescent="0.25">
      <c r="A11" t="s">
        <v>46</v>
      </c>
      <c r="B11">
        <v>1</v>
      </c>
      <c r="C11" t="s">
        <v>106</v>
      </c>
      <c r="D11">
        <v>30</v>
      </c>
      <c r="E11" t="s">
        <v>22</v>
      </c>
      <c r="G11" t="s">
        <v>32</v>
      </c>
      <c r="H11" t="s">
        <v>12</v>
      </c>
      <c r="I11">
        <v>17</v>
      </c>
      <c r="J11" t="s">
        <v>32</v>
      </c>
      <c r="K11">
        <v>30</v>
      </c>
      <c r="L11" t="s">
        <v>22</v>
      </c>
      <c r="N11" t="s">
        <v>254</v>
      </c>
      <c r="O11" t="s">
        <v>60</v>
      </c>
      <c r="P11">
        <v>20</v>
      </c>
      <c r="Q11" t="s">
        <v>254</v>
      </c>
      <c r="R11">
        <v>60</v>
      </c>
      <c r="S11" t="s">
        <v>22</v>
      </c>
    </row>
    <row r="12" spans="1:19" x14ac:dyDescent="0.25">
      <c r="A12" t="s">
        <v>46</v>
      </c>
      <c r="B12">
        <v>2</v>
      </c>
      <c r="C12" t="s">
        <v>107</v>
      </c>
      <c r="D12">
        <v>30</v>
      </c>
      <c r="E12" t="s">
        <v>21</v>
      </c>
      <c r="G12" t="s">
        <v>33</v>
      </c>
      <c r="H12" t="s">
        <v>12</v>
      </c>
      <c r="I12">
        <v>18</v>
      </c>
      <c r="J12" t="s">
        <v>33</v>
      </c>
      <c r="K12">
        <v>30</v>
      </c>
      <c r="L12" t="s">
        <v>22</v>
      </c>
      <c r="N12" t="s">
        <v>255</v>
      </c>
      <c r="O12" t="s">
        <v>60</v>
      </c>
      <c r="P12">
        <v>22</v>
      </c>
      <c r="Q12" t="s">
        <v>255</v>
      </c>
      <c r="R12">
        <v>60</v>
      </c>
      <c r="S12" t="s">
        <v>22</v>
      </c>
    </row>
    <row r="13" spans="1:19" x14ac:dyDescent="0.25">
      <c r="A13" t="s">
        <v>46</v>
      </c>
      <c r="B13">
        <v>5</v>
      </c>
      <c r="C13" t="s">
        <v>108</v>
      </c>
      <c r="D13">
        <v>30</v>
      </c>
      <c r="E13" t="s">
        <v>22</v>
      </c>
      <c r="G13" t="s">
        <v>34</v>
      </c>
      <c r="H13" t="s">
        <v>12</v>
      </c>
      <c r="I13">
        <v>19</v>
      </c>
      <c r="J13" t="s">
        <v>34</v>
      </c>
      <c r="K13">
        <v>30</v>
      </c>
      <c r="L13" t="s">
        <v>22</v>
      </c>
      <c r="N13" t="s">
        <v>256</v>
      </c>
      <c r="O13" t="s">
        <v>60</v>
      </c>
      <c r="P13">
        <v>23</v>
      </c>
      <c r="Q13" t="s">
        <v>256</v>
      </c>
      <c r="R13">
        <v>60</v>
      </c>
      <c r="S13" t="s">
        <v>22</v>
      </c>
    </row>
    <row r="14" spans="1:19" x14ac:dyDescent="0.25">
      <c r="A14" t="s">
        <v>46</v>
      </c>
      <c r="B14">
        <v>6</v>
      </c>
      <c r="C14" t="s">
        <v>109</v>
      </c>
      <c r="D14">
        <v>30</v>
      </c>
      <c r="E14" t="s">
        <v>22</v>
      </c>
      <c r="G14" t="s">
        <v>35</v>
      </c>
      <c r="H14" t="s">
        <v>12</v>
      </c>
      <c r="I14">
        <v>20</v>
      </c>
      <c r="J14" t="s">
        <v>35</v>
      </c>
      <c r="K14">
        <v>30</v>
      </c>
      <c r="L14" t="s">
        <v>22</v>
      </c>
      <c r="N14" t="s">
        <v>257</v>
      </c>
      <c r="O14" t="s">
        <v>60</v>
      </c>
      <c r="P14">
        <v>24</v>
      </c>
      <c r="Q14" t="s">
        <v>257</v>
      </c>
      <c r="R14">
        <v>60</v>
      </c>
      <c r="S14" t="s">
        <v>22</v>
      </c>
    </row>
    <row r="15" spans="1:19" x14ac:dyDescent="0.25">
      <c r="A15" t="s">
        <v>46</v>
      </c>
      <c r="B15">
        <v>7</v>
      </c>
      <c r="C15" t="s">
        <v>110</v>
      </c>
      <c r="D15">
        <v>30</v>
      </c>
      <c r="E15" t="s">
        <v>21</v>
      </c>
      <c r="G15" t="s">
        <v>36</v>
      </c>
      <c r="H15" t="s">
        <v>12</v>
      </c>
      <c r="I15">
        <v>21</v>
      </c>
      <c r="J15" t="s">
        <v>36</v>
      </c>
      <c r="K15">
        <v>30</v>
      </c>
      <c r="L15" t="s">
        <v>22</v>
      </c>
      <c r="N15" t="s">
        <v>258</v>
      </c>
      <c r="O15" t="s">
        <v>60</v>
      </c>
      <c r="P15">
        <v>25</v>
      </c>
      <c r="Q15" t="s">
        <v>258</v>
      </c>
      <c r="R15">
        <v>60</v>
      </c>
      <c r="S15" t="s">
        <v>22</v>
      </c>
    </row>
    <row r="16" spans="1:19" x14ac:dyDescent="0.25">
      <c r="A16" t="s">
        <v>46</v>
      </c>
      <c r="B16">
        <v>16</v>
      </c>
      <c r="C16" t="s">
        <v>111</v>
      </c>
      <c r="D16">
        <v>30</v>
      </c>
      <c r="E16" t="s">
        <v>22</v>
      </c>
      <c r="G16" t="s">
        <v>37</v>
      </c>
      <c r="H16" t="s">
        <v>12</v>
      </c>
      <c r="I16">
        <v>22</v>
      </c>
      <c r="J16" t="s">
        <v>37</v>
      </c>
      <c r="K16">
        <v>30</v>
      </c>
      <c r="L16" t="s">
        <v>22</v>
      </c>
      <c r="N16" t="s">
        <v>259</v>
      </c>
      <c r="O16" t="s">
        <v>60</v>
      </c>
      <c r="P16">
        <v>26</v>
      </c>
      <c r="Q16" t="s">
        <v>259</v>
      </c>
      <c r="R16">
        <v>60</v>
      </c>
      <c r="S16" t="s">
        <v>22</v>
      </c>
    </row>
    <row r="17" spans="1:19" x14ac:dyDescent="0.25">
      <c r="A17" t="s">
        <v>46</v>
      </c>
      <c r="B17">
        <v>23</v>
      </c>
      <c r="C17" t="s">
        <v>112</v>
      </c>
      <c r="D17">
        <v>60</v>
      </c>
      <c r="E17" t="s">
        <v>22</v>
      </c>
      <c r="G17" t="s">
        <v>38</v>
      </c>
      <c r="H17" t="s">
        <v>12</v>
      </c>
      <c r="I17">
        <v>23</v>
      </c>
      <c r="J17" t="s">
        <v>38</v>
      </c>
      <c r="K17">
        <v>30</v>
      </c>
      <c r="L17" t="s">
        <v>22</v>
      </c>
      <c r="N17" t="s">
        <v>260</v>
      </c>
      <c r="O17" t="s">
        <v>60</v>
      </c>
      <c r="P17">
        <v>27</v>
      </c>
      <c r="Q17" t="s">
        <v>260</v>
      </c>
      <c r="R17">
        <v>60</v>
      </c>
      <c r="S17" t="s">
        <v>22</v>
      </c>
    </row>
    <row r="18" spans="1:19" x14ac:dyDescent="0.25">
      <c r="A18" t="s">
        <v>47</v>
      </c>
      <c r="B18">
        <v>1</v>
      </c>
      <c r="C18" t="s">
        <v>106</v>
      </c>
      <c r="D18">
        <v>30</v>
      </c>
      <c r="E18" t="s">
        <v>22</v>
      </c>
      <c r="G18" t="s">
        <v>39</v>
      </c>
      <c r="H18" t="s">
        <v>12</v>
      </c>
      <c r="I18">
        <v>24</v>
      </c>
      <c r="J18" t="s">
        <v>39</v>
      </c>
      <c r="K18">
        <v>30</v>
      </c>
      <c r="L18" t="s">
        <v>22</v>
      </c>
      <c r="N18" t="s">
        <v>261</v>
      </c>
      <c r="O18" t="s">
        <v>60</v>
      </c>
      <c r="P18">
        <v>28</v>
      </c>
      <c r="Q18" t="s">
        <v>261</v>
      </c>
      <c r="R18">
        <v>60</v>
      </c>
      <c r="S18" t="s">
        <v>22</v>
      </c>
    </row>
    <row r="19" spans="1:19" x14ac:dyDescent="0.25">
      <c r="A19" t="s">
        <v>47</v>
      </c>
      <c r="B19">
        <v>2</v>
      </c>
      <c r="C19" t="s">
        <v>107</v>
      </c>
      <c r="D19">
        <v>30</v>
      </c>
      <c r="E19" t="s">
        <v>21</v>
      </c>
      <c r="G19" t="s">
        <v>113</v>
      </c>
      <c r="H19" t="s">
        <v>46</v>
      </c>
      <c r="I19">
        <v>3</v>
      </c>
      <c r="J19" t="s">
        <v>113</v>
      </c>
      <c r="K19">
        <v>30</v>
      </c>
      <c r="L19" t="s">
        <v>22</v>
      </c>
      <c r="N19" t="s">
        <v>262</v>
      </c>
      <c r="O19" t="s">
        <v>60</v>
      </c>
      <c r="P19">
        <v>29</v>
      </c>
      <c r="Q19" t="s">
        <v>262</v>
      </c>
      <c r="R19">
        <v>60</v>
      </c>
      <c r="S19" t="s">
        <v>22</v>
      </c>
    </row>
    <row r="20" spans="1:19" x14ac:dyDescent="0.25">
      <c r="A20" t="s">
        <v>47</v>
      </c>
      <c r="B20">
        <v>5</v>
      </c>
      <c r="C20" t="s">
        <v>108</v>
      </c>
      <c r="D20">
        <v>30</v>
      </c>
      <c r="E20" t="s">
        <v>22</v>
      </c>
      <c r="G20" t="s">
        <v>114</v>
      </c>
      <c r="H20" t="s">
        <v>46</v>
      </c>
      <c r="I20">
        <v>4</v>
      </c>
      <c r="J20" t="s">
        <v>114</v>
      </c>
      <c r="K20">
        <v>30</v>
      </c>
      <c r="L20" t="s">
        <v>22</v>
      </c>
      <c r="N20" t="s">
        <v>263</v>
      </c>
      <c r="O20" t="s">
        <v>60</v>
      </c>
      <c r="P20">
        <v>30</v>
      </c>
      <c r="Q20" t="s">
        <v>263</v>
      </c>
      <c r="R20">
        <v>60</v>
      </c>
      <c r="S20" t="s">
        <v>22</v>
      </c>
    </row>
    <row r="21" spans="1:19" x14ac:dyDescent="0.25">
      <c r="A21" t="s">
        <v>47</v>
      </c>
      <c r="B21">
        <v>6</v>
      </c>
      <c r="C21" t="s">
        <v>109</v>
      </c>
      <c r="D21">
        <v>30</v>
      </c>
      <c r="E21" t="s">
        <v>22</v>
      </c>
      <c r="G21" t="s">
        <v>115</v>
      </c>
      <c r="H21" t="s">
        <v>46</v>
      </c>
      <c r="I21">
        <v>8</v>
      </c>
      <c r="J21" t="s">
        <v>115</v>
      </c>
      <c r="K21">
        <v>30</v>
      </c>
      <c r="L21" t="s">
        <v>22</v>
      </c>
      <c r="N21" t="s">
        <v>264</v>
      </c>
      <c r="O21" t="s">
        <v>60</v>
      </c>
      <c r="P21">
        <v>31</v>
      </c>
      <c r="Q21" t="s">
        <v>264</v>
      </c>
      <c r="R21">
        <v>30</v>
      </c>
      <c r="S21" t="s">
        <v>22</v>
      </c>
    </row>
    <row r="22" spans="1:19" x14ac:dyDescent="0.25">
      <c r="A22" t="s">
        <v>47</v>
      </c>
      <c r="B22">
        <v>7</v>
      </c>
      <c r="C22" t="s">
        <v>110</v>
      </c>
      <c r="D22">
        <v>30</v>
      </c>
      <c r="E22" t="s">
        <v>21</v>
      </c>
      <c r="G22" t="s">
        <v>116</v>
      </c>
      <c r="H22" t="s">
        <v>46</v>
      </c>
      <c r="I22">
        <v>9</v>
      </c>
      <c r="J22" t="s">
        <v>116</v>
      </c>
      <c r="K22">
        <v>60</v>
      </c>
      <c r="L22" t="s">
        <v>22</v>
      </c>
      <c r="N22" t="s">
        <v>265</v>
      </c>
      <c r="O22" t="s">
        <v>60</v>
      </c>
      <c r="P22">
        <v>32</v>
      </c>
      <c r="Q22" t="s">
        <v>265</v>
      </c>
      <c r="R22">
        <v>30</v>
      </c>
      <c r="S22" t="s">
        <v>22</v>
      </c>
    </row>
    <row r="23" spans="1:19" x14ac:dyDescent="0.25">
      <c r="A23" t="s">
        <v>47</v>
      </c>
      <c r="B23">
        <v>9</v>
      </c>
      <c r="C23" t="s">
        <v>116</v>
      </c>
      <c r="D23">
        <v>60</v>
      </c>
      <c r="E23" t="s">
        <v>22</v>
      </c>
      <c r="G23" t="s">
        <v>117</v>
      </c>
      <c r="H23" t="s">
        <v>46</v>
      </c>
      <c r="I23">
        <v>10</v>
      </c>
      <c r="J23" t="s">
        <v>117</v>
      </c>
      <c r="K23">
        <v>60</v>
      </c>
      <c r="L23" t="s">
        <v>22</v>
      </c>
      <c r="N23" t="s">
        <v>266</v>
      </c>
      <c r="O23" t="s">
        <v>60</v>
      </c>
      <c r="P23">
        <v>33</v>
      </c>
      <c r="Q23" t="s">
        <v>266</v>
      </c>
      <c r="R23">
        <v>30</v>
      </c>
      <c r="S23" t="s">
        <v>22</v>
      </c>
    </row>
    <row r="24" spans="1:19" x14ac:dyDescent="0.25">
      <c r="A24" t="s">
        <v>47</v>
      </c>
      <c r="B24">
        <v>16</v>
      </c>
      <c r="C24" t="s">
        <v>111</v>
      </c>
      <c r="D24">
        <v>30</v>
      </c>
      <c r="E24" t="s">
        <v>22</v>
      </c>
      <c r="G24" t="s">
        <v>118</v>
      </c>
      <c r="H24" t="s">
        <v>46</v>
      </c>
      <c r="I24">
        <v>11</v>
      </c>
      <c r="J24" t="s">
        <v>118</v>
      </c>
      <c r="K24">
        <v>60</v>
      </c>
      <c r="L24" t="s">
        <v>22</v>
      </c>
      <c r="N24" t="s">
        <v>267</v>
      </c>
      <c r="O24" t="s">
        <v>60</v>
      </c>
      <c r="P24">
        <v>34</v>
      </c>
      <c r="Q24" t="s">
        <v>267</v>
      </c>
      <c r="R24">
        <v>60</v>
      </c>
      <c r="S24" t="s">
        <v>22</v>
      </c>
    </row>
    <row r="25" spans="1:19" x14ac:dyDescent="0.25">
      <c r="A25" t="s">
        <v>47</v>
      </c>
      <c r="B25">
        <v>23</v>
      </c>
      <c r="C25" t="s">
        <v>112</v>
      </c>
      <c r="D25">
        <v>60</v>
      </c>
      <c r="E25" t="s">
        <v>22</v>
      </c>
      <c r="G25" t="s">
        <v>119</v>
      </c>
      <c r="H25" t="s">
        <v>46</v>
      </c>
      <c r="I25">
        <v>12</v>
      </c>
      <c r="J25" t="s">
        <v>119</v>
      </c>
      <c r="K25">
        <v>60</v>
      </c>
      <c r="L25" t="s">
        <v>22</v>
      </c>
      <c r="N25" t="s">
        <v>268</v>
      </c>
      <c r="O25" t="s">
        <v>60</v>
      </c>
      <c r="P25">
        <v>35</v>
      </c>
      <c r="Q25" t="s">
        <v>268</v>
      </c>
      <c r="R25">
        <v>60</v>
      </c>
      <c r="S25" t="s">
        <v>22</v>
      </c>
    </row>
    <row r="26" spans="1:19" x14ac:dyDescent="0.25">
      <c r="A26" t="s">
        <v>48</v>
      </c>
      <c r="B26">
        <v>1</v>
      </c>
      <c r="C26" t="s">
        <v>106</v>
      </c>
      <c r="D26">
        <v>30</v>
      </c>
      <c r="E26" t="s">
        <v>22</v>
      </c>
      <c r="G26" t="s">
        <v>120</v>
      </c>
      <c r="H26" t="s">
        <v>46</v>
      </c>
      <c r="I26">
        <v>13</v>
      </c>
      <c r="J26" t="s">
        <v>120</v>
      </c>
      <c r="K26">
        <v>60</v>
      </c>
      <c r="L26" t="s">
        <v>22</v>
      </c>
      <c r="N26" t="s">
        <v>66</v>
      </c>
      <c r="O26" t="s">
        <v>65</v>
      </c>
      <c r="P26">
        <v>4</v>
      </c>
      <c r="Q26" t="s">
        <v>66</v>
      </c>
      <c r="R26">
        <v>30</v>
      </c>
      <c r="S26" t="s">
        <v>22</v>
      </c>
    </row>
    <row r="27" spans="1:19" x14ac:dyDescent="0.25">
      <c r="A27" t="s">
        <v>48</v>
      </c>
      <c r="B27">
        <v>2</v>
      </c>
      <c r="C27" t="s">
        <v>107</v>
      </c>
      <c r="D27">
        <v>30</v>
      </c>
      <c r="E27" t="s">
        <v>21</v>
      </c>
      <c r="G27" t="s">
        <v>121</v>
      </c>
      <c r="H27" t="s">
        <v>46</v>
      </c>
      <c r="I27">
        <v>14</v>
      </c>
      <c r="J27" t="s">
        <v>121</v>
      </c>
      <c r="K27">
        <v>60</v>
      </c>
      <c r="L27" t="s">
        <v>22</v>
      </c>
      <c r="N27" t="s">
        <v>247</v>
      </c>
      <c r="O27" t="s">
        <v>65</v>
      </c>
      <c r="P27">
        <v>6</v>
      </c>
      <c r="Q27" t="s">
        <v>247</v>
      </c>
      <c r="R27">
        <v>30</v>
      </c>
      <c r="S27" t="s">
        <v>22</v>
      </c>
    </row>
    <row r="28" spans="1:19" x14ac:dyDescent="0.25">
      <c r="A28" t="s">
        <v>48</v>
      </c>
      <c r="B28">
        <v>5</v>
      </c>
      <c r="C28" t="s">
        <v>108</v>
      </c>
      <c r="D28">
        <v>30</v>
      </c>
      <c r="E28" t="s">
        <v>22</v>
      </c>
      <c r="G28" t="s">
        <v>122</v>
      </c>
      <c r="H28" t="s">
        <v>46</v>
      </c>
      <c r="I28">
        <v>15</v>
      </c>
      <c r="J28" t="s">
        <v>122</v>
      </c>
      <c r="K28">
        <v>60</v>
      </c>
      <c r="L28" t="s">
        <v>22</v>
      </c>
      <c r="N28" t="s">
        <v>242</v>
      </c>
      <c r="O28" t="s">
        <v>65</v>
      </c>
      <c r="P28">
        <v>8</v>
      </c>
      <c r="Q28" t="s">
        <v>242</v>
      </c>
      <c r="R28">
        <v>60</v>
      </c>
      <c r="S28" t="s">
        <v>22</v>
      </c>
    </row>
    <row r="29" spans="1:19" x14ac:dyDescent="0.25">
      <c r="A29" t="s">
        <v>48</v>
      </c>
      <c r="B29">
        <v>6</v>
      </c>
      <c r="C29" t="s">
        <v>109</v>
      </c>
      <c r="D29">
        <v>30</v>
      </c>
      <c r="E29" t="s">
        <v>22</v>
      </c>
      <c r="G29" t="s">
        <v>123</v>
      </c>
      <c r="H29" t="s">
        <v>46</v>
      </c>
      <c r="I29">
        <v>17</v>
      </c>
      <c r="J29" t="s">
        <v>123</v>
      </c>
      <c r="K29">
        <v>30</v>
      </c>
      <c r="L29" t="s">
        <v>22</v>
      </c>
      <c r="N29" t="s">
        <v>248</v>
      </c>
      <c r="O29" t="s">
        <v>65</v>
      </c>
      <c r="P29">
        <v>11</v>
      </c>
      <c r="Q29" t="s">
        <v>248</v>
      </c>
      <c r="R29">
        <v>30</v>
      </c>
      <c r="S29" t="s">
        <v>22</v>
      </c>
    </row>
    <row r="30" spans="1:19" x14ac:dyDescent="0.25">
      <c r="A30" t="s">
        <v>48</v>
      </c>
      <c r="B30">
        <v>7</v>
      </c>
      <c r="C30" t="s">
        <v>110</v>
      </c>
      <c r="D30">
        <v>30</v>
      </c>
      <c r="E30" t="s">
        <v>21</v>
      </c>
      <c r="G30" t="s">
        <v>124</v>
      </c>
      <c r="H30" t="s">
        <v>46</v>
      </c>
      <c r="I30">
        <v>18</v>
      </c>
      <c r="J30" t="s">
        <v>124</v>
      </c>
      <c r="K30">
        <v>60</v>
      </c>
      <c r="L30" t="s">
        <v>22</v>
      </c>
      <c r="N30" t="s">
        <v>243</v>
      </c>
      <c r="O30" t="s">
        <v>65</v>
      </c>
      <c r="P30">
        <v>12</v>
      </c>
      <c r="Q30" t="s">
        <v>243</v>
      </c>
      <c r="R30">
        <v>60</v>
      </c>
      <c r="S30" t="s">
        <v>22</v>
      </c>
    </row>
    <row r="31" spans="1:19" x14ac:dyDescent="0.25">
      <c r="A31" t="s">
        <v>48</v>
      </c>
      <c r="B31">
        <v>10</v>
      </c>
      <c r="C31" t="s">
        <v>117</v>
      </c>
      <c r="D31">
        <v>60</v>
      </c>
      <c r="E31" t="s">
        <v>22</v>
      </c>
      <c r="G31" t="s">
        <v>125</v>
      </c>
      <c r="H31" t="s">
        <v>46</v>
      </c>
      <c r="I31">
        <v>19</v>
      </c>
      <c r="J31" t="s">
        <v>125</v>
      </c>
      <c r="K31">
        <v>60</v>
      </c>
      <c r="L31" t="s">
        <v>22</v>
      </c>
      <c r="N31" t="s">
        <v>245</v>
      </c>
      <c r="O31" t="s">
        <v>65</v>
      </c>
      <c r="P31">
        <v>18</v>
      </c>
      <c r="Q31" t="s">
        <v>245</v>
      </c>
      <c r="R31">
        <v>60</v>
      </c>
      <c r="S31" t="s">
        <v>22</v>
      </c>
    </row>
    <row r="32" spans="1:19" x14ac:dyDescent="0.25">
      <c r="A32" t="s">
        <v>48</v>
      </c>
      <c r="B32">
        <v>12</v>
      </c>
      <c r="C32" t="s">
        <v>119</v>
      </c>
      <c r="D32">
        <v>60</v>
      </c>
      <c r="E32" t="s">
        <v>22</v>
      </c>
      <c r="G32" t="s">
        <v>126</v>
      </c>
      <c r="H32" t="s">
        <v>46</v>
      </c>
      <c r="I32">
        <v>20</v>
      </c>
      <c r="J32" t="s">
        <v>126</v>
      </c>
      <c r="K32">
        <v>60</v>
      </c>
      <c r="L32" t="s">
        <v>22</v>
      </c>
      <c r="N32" t="s">
        <v>254</v>
      </c>
      <c r="O32" t="s">
        <v>65</v>
      </c>
      <c r="P32">
        <v>20</v>
      </c>
      <c r="Q32" t="s">
        <v>254</v>
      </c>
      <c r="R32">
        <v>60</v>
      </c>
      <c r="S32" t="s">
        <v>22</v>
      </c>
    </row>
    <row r="33" spans="1:19" x14ac:dyDescent="0.25">
      <c r="A33" t="s">
        <v>48</v>
      </c>
      <c r="B33">
        <v>16</v>
      </c>
      <c r="C33" t="s">
        <v>111</v>
      </c>
      <c r="D33">
        <v>30</v>
      </c>
      <c r="E33" t="s">
        <v>22</v>
      </c>
      <c r="G33" t="s">
        <v>127</v>
      </c>
      <c r="H33" t="s">
        <v>46</v>
      </c>
      <c r="I33">
        <v>21</v>
      </c>
      <c r="J33" t="s">
        <v>127</v>
      </c>
      <c r="K33">
        <v>60</v>
      </c>
      <c r="L33" t="s">
        <v>22</v>
      </c>
      <c r="N33" t="s">
        <v>242</v>
      </c>
      <c r="O33" t="s">
        <v>66</v>
      </c>
      <c r="P33">
        <v>8</v>
      </c>
      <c r="Q33" t="s">
        <v>242</v>
      </c>
      <c r="R33">
        <v>60</v>
      </c>
      <c r="S33" t="s">
        <v>22</v>
      </c>
    </row>
    <row r="34" spans="1:19" x14ac:dyDescent="0.25">
      <c r="A34" t="s">
        <v>48</v>
      </c>
      <c r="B34">
        <v>23</v>
      </c>
      <c r="C34" t="s">
        <v>112</v>
      </c>
      <c r="D34">
        <v>60</v>
      </c>
      <c r="E34" t="s">
        <v>22</v>
      </c>
      <c r="G34" t="s">
        <v>128</v>
      </c>
      <c r="H34" t="s">
        <v>46</v>
      </c>
      <c r="I34">
        <v>22</v>
      </c>
      <c r="J34" t="s">
        <v>128</v>
      </c>
      <c r="K34">
        <v>60</v>
      </c>
      <c r="L34" t="s">
        <v>22</v>
      </c>
      <c r="N34" t="s">
        <v>248</v>
      </c>
      <c r="O34" t="s">
        <v>66</v>
      </c>
      <c r="P34">
        <v>11</v>
      </c>
      <c r="Q34" t="s">
        <v>248</v>
      </c>
      <c r="R34">
        <v>30</v>
      </c>
      <c r="S34" t="s">
        <v>22</v>
      </c>
    </row>
    <row r="35" spans="1:19" x14ac:dyDescent="0.25">
      <c r="A35" t="s">
        <v>49</v>
      </c>
      <c r="B35">
        <v>1</v>
      </c>
      <c r="C35" t="s">
        <v>106</v>
      </c>
      <c r="D35">
        <v>30</v>
      </c>
      <c r="E35" t="s">
        <v>22</v>
      </c>
      <c r="G35" t="s">
        <v>129</v>
      </c>
      <c r="H35" t="s">
        <v>46</v>
      </c>
      <c r="I35">
        <v>24</v>
      </c>
      <c r="J35" t="s">
        <v>129</v>
      </c>
      <c r="K35">
        <v>60</v>
      </c>
      <c r="L35" t="s">
        <v>22</v>
      </c>
      <c r="N35" t="s">
        <v>249</v>
      </c>
      <c r="O35" t="s">
        <v>66</v>
      </c>
      <c r="P35">
        <v>13</v>
      </c>
      <c r="Q35" t="s">
        <v>249</v>
      </c>
      <c r="R35">
        <v>30</v>
      </c>
      <c r="S35" t="s">
        <v>22</v>
      </c>
    </row>
    <row r="36" spans="1:19" x14ac:dyDescent="0.25">
      <c r="A36" t="s">
        <v>49</v>
      </c>
      <c r="B36">
        <v>2</v>
      </c>
      <c r="C36" t="s">
        <v>107</v>
      </c>
      <c r="D36">
        <v>30</v>
      </c>
      <c r="E36" t="s">
        <v>21</v>
      </c>
      <c r="G36" t="s">
        <v>130</v>
      </c>
      <c r="H36" t="s">
        <v>46</v>
      </c>
      <c r="I36">
        <v>25</v>
      </c>
      <c r="J36" t="s">
        <v>130</v>
      </c>
      <c r="K36">
        <v>60</v>
      </c>
      <c r="L36" t="s">
        <v>22</v>
      </c>
      <c r="N36" t="s">
        <v>250</v>
      </c>
      <c r="O36" t="s">
        <v>66</v>
      </c>
      <c r="P36">
        <v>14</v>
      </c>
      <c r="Q36" t="s">
        <v>250</v>
      </c>
      <c r="R36">
        <v>30</v>
      </c>
      <c r="S36" t="s">
        <v>22</v>
      </c>
    </row>
    <row r="37" spans="1:19" x14ac:dyDescent="0.25">
      <c r="A37" t="s">
        <v>49</v>
      </c>
      <c r="B37">
        <v>5</v>
      </c>
      <c r="C37" t="s">
        <v>108</v>
      </c>
      <c r="D37">
        <v>30</v>
      </c>
      <c r="E37" t="s">
        <v>22</v>
      </c>
      <c r="G37" t="s">
        <v>131</v>
      </c>
      <c r="H37" t="s">
        <v>46</v>
      </c>
      <c r="I37">
        <v>26</v>
      </c>
      <c r="J37" t="s">
        <v>131</v>
      </c>
      <c r="K37">
        <v>60</v>
      </c>
      <c r="L37" t="s">
        <v>22</v>
      </c>
      <c r="N37" t="s">
        <v>253</v>
      </c>
      <c r="O37" t="s">
        <v>66</v>
      </c>
      <c r="P37">
        <v>19</v>
      </c>
      <c r="Q37" t="s">
        <v>253</v>
      </c>
      <c r="R37">
        <v>30</v>
      </c>
      <c r="S37" t="s">
        <v>22</v>
      </c>
    </row>
    <row r="38" spans="1:19" x14ac:dyDescent="0.25">
      <c r="A38" t="s">
        <v>49</v>
      </c>
      <c r="B38">
        <v>6</v>
      </c>
      <c r="C38" t="s">
        <v>109</v>
      </c>
      <c r="D38">
        <v>30</v>
      </c>
      <c r="E38" t="s">
        <v>22</v>
      </c>
      <c r="G38" t="s">
        <v>132</v>
      </c>
      <c r="H38" t="s">
        <v>46</v>
      </c>
      <c r="I38">
        <v>27</v>
      </c>
      <c r="J38" t="s">
        <v>132</v>
      </c>
      <c r="K38">
        <v>60</v>
      </c>
      <c r="L38" t="s">
        <v>22</v>
      </c>
      <c r="N38" t="s">
        <v>256</v>
      </c>
      <c r="O38" t="s">
        <v>66</v>
      </c>
      <c r="P38">
        <v>23</v>
      </c>
      <c r="Q38" t="s">
        <v>256</v>
      </c>
      <c r="R38">
        <v>60</v>
      </c>
      <c r="S38" t="s">
        <v>22</v>
      </c>
    </row>
    <row r="39" spans="1:19" x14ac:dyDescent="0.25">
      <c r="A39" t="s">
        <v>49</v>
      </c>
      <c r="B39">
        <v>7</v>
      </c>
      <c r="C39" t="s">
        <v>110</v>
      </c>
      <c r="D39">
        <v>30</v>
      </c>
      <c r="E39" t="s">
        <v>21</v>
      </c>
      <c r="G39" t="s">
        <v>133</v>
      </c>
      <c r="H39" t="s">
        <v>46</v>
      </c>
      <c r="I39">
        <v>28</v>
      </c>
      <c r="J39" t="s">
        <v>133</v>
      </c>
      <c r="K39">
        <v>60</v>
      </c>
      <c r="L39" t="s">
        <v>22</v>
      </c>
      <c r="N39" t="s">
        <v>263</v>
      </c>
      <c r="O39" t="s">
        <v>66</v>
      </c>
      <c r="P39">
        <v>30</v>
      </c>
      <c r="Q39" t="s">
        <v>263</v>
      </c>
      <c r="R39">
        <v>60</v>
      </c>
      <c r="S39" t="s">
        <v>22</v>
      </c>
    </row>
    <row r="40" spans="1:19" x14ac:dyDescent="0.25">
      <c r="A40" t="s">
        <v>49</v>
      </c>
      <c r="B40">
        <v>14</v>
      </c>
      <c r="C40" t="s">
        <v>121</v>
      </c>
      <c r="D40">
        <v>60</v>
      </c>
      <c r="E40" t="s">
        <v>22</v>
      </c>
      <c r="G40" t="s">
        <v>134</v>
      </c>
      <c r="H40" t="s">
        <v>46</v>
      </c>
      <c r="I40">
        <v>29</v>
      </c>
      <c r="J40" t="s">
        <v>134</v>
      </c>
      <c r="K40">
        <v>60</v>
      </c>
      <c r="L40" t="s">
        <v>22</v>
      </c>
      <c r="N40" t="s">
        <v>66</v>
      </c>
      <c r="O40" t="s">
        <v>67</v>
      </c>
      <c r="P40">
        <v>4</v>
      </c>
      <c r="Q40" t="s">
        <v>66</v>
      </c>
      <c r="R40">
        <v>30</v>
      </c>
      <c r="S40" t="s">
        <v>22</v>
      </c>
    </row>
    <row r="41" spans="1:19" x14ac:dyDescent="0.25">
      <c r="A41" t="s">
        <v>49</v>
      </c>
      <c r="B41">
        <v>16</v>
      </c>
      <c r="C41" t="s">
        <v>111</v>
      </c>
      <c r="D41">
        <v>30</v>
      </c>
      <c r="E41" t="s">
        <v>22</v>
      </c>
      <c r="G41" t="s">
        <v>135</v>
      </c>
      <c r="H41" t="s">
        <v>46</v>
      </c>
      <c r="I41">
        <v>30</v>
      </c>
      <c r="J41" t="s">
        <v>135</v>
      </c>
      <c r="K41">
        <v>60</v>
      </c>
      <c r="L41" t="s">
        <v>22</v>
      </c>
      <c r="N41" t="s">
        <v>247</v>
      </c>
      <c r="O41" t="s">
        <v>67</v>
      </c>
      <c r="P41">
        <v>6</v>
      </c>
      <c r="Q41" t="s">
        <v>247</v>
      </c>
      <c r="R41">
        <v>30</v>
      </c>
      <c r="S41" t="s">
        <v>22</v>
      </c>
    </row>
    <row r="42" spans="1:19" x14ac:dyDescent="0.25">
      <c r="A42" t="s">
        <v>49</v>
      </c>
      <c r="B42">
        <v>23</v>
      </c>
      <c r="C42" t="s">
        <v>112</v>
      </c>
      <c r="D42">
        <v>60</v>
      </c>
      <c r="E42" t="s">
        <v>22</v>
      </c>
      <c r="G42" t="s">
        <v>136</v>
      </c>
      <c r="H42" t="s">
        <v>46</v>
      </c>
      <c r="I42">
        <v>31</v>
      </c>
      <c r="J42" t="s">
        <v>136</v>
      </c>
      <c r="K42">
        <v>60</v>
      </c>
      <c r="L42" t="s">
        <v>22</v>
      </c>
      <c r="N42" t="s">
        <v>241</v>
      </c>
      <c r="O42" t="s">
        <v>67</v>
      </c>
      <c r="P42">
        <v>7</v>
      </c>
      <c r="Q42" t="s">
        <v>241</v>
      </c>
      <c r="R42">
        <v>60</v>
      </c>
      <c r="S42" t="s">
        <v>22</v>
      </c>
    </row>
    <row r="43" spans="1:19" x14ac:dyDescent="0.25">
      <c r="A43" t="s">
        <v>50</v>
      </c>
      <c r="B43">
        <v>1</v>
      </c>
      <c r="C43" t="s">
        <v>106</v>
      </c>
      <c r="D43">
        <v>30</v>
      </c>
      <c r="E43" t="s">
        <v>22</v>
      </c>
      <c r="G43" t="s">
        <v>137</v>
      </c>
      <c r="H43" t="s">
        <v>46</v>
      </c>
      <c r="I43">
        <v>32</v>
      </c>
      <c r="J43" t="s">
        <v>137</v>
      </c>
      <c r="K43">
        <v>60</v>
      </c>
      <c r="L43" t="s">
        <v>22</v>
      </c>
      <c r="N43" t="s">
        <v>248</v>
      </c>
      <c r="O43" t="s">
        <v>67</v>
      </c>
      <c r="P43">
        <v>11</v>
      </c>
      <c r="Q43" t="s">
        <v>248</v>
      </c>
      <c r="R43">
        <v>30</v>
      </c>
      <c r="S43" t="s">
        <v>22</v>
      </c>
    </row>
    <row r="44" spans="1:19" x14ac:dyDescent="0.25">
      <c r="A44" t="s">
        <v>50</v>
      </c>
      <c r="B44">
        <v>2</v>
      </c>
      <c r="C44" t="s">
        <v>107</v>
      </c>
      <c r="D44">
        <v>30</v>
      </c>
      <c r="E44" t="s">
        <v>21</v>
      </c>
      <c r="G44" t="s">
        <v>138</v>
      </c>
      <c r="H44" t="s">
        <v>46</v>
      </c>
      <c r="I44">
        <v>33</v>
      </c>
      <c r="J44" t="s">
        <v>138</v>
      </c>
      <c r="K44">
        <v>60</v>
      </c>
      <c r="L44" t="s">
        <v>22</v>
      </c>
      <c r="N44" t="s">
        <v>243</v>
      </c>
      <c r="O44" t="s">
        <v>67</v>
      </c>
      <c r="P44">
        <v>12</v>
      </c>
      <c r="Q44" t="s">
        <v>243</v>
      </c>
      <c r="R44">
        <v>60</v>
      </c>
      <c r="S44" t="s">
        <v>22</v>
      </c>
    </row>
    <row r="45" spans="1:19" x14ac:dyDescent="0.25">
      <c r="A45" t="s">
        <v>50</v>
      </c>
      <c r="B45">
        <v>5</v>
      </c>
      <c r="C45" t="s">
        <v>108</v>
      </c>
      <c r="D45">
        <v>30</v>
      </c>
      <c r="E45" t="s">
        <v>22</v>
      </c>
      <c r="G45" t="s">
        <v>139</v>
      </c>
      <c r="H45" t="s">
        <v>46</v>
      </c>
      <c r="I45">
        <v>34</v>
      </c>
      <c r="J45" t="s">
        <v>139</v>
      </c>
      <c r="K45">
        <v>60</v>
      </c>
      <c r="L45" t="s">
        <v>22</v>
      </c>
      <c r="N45" t="s">
        <v>249</v>
      </c>
      <c r="O45" t="s">
        <v>67</v>
      </c>
      <c r="P45">
        <v>13</v>
      </c>
      <c r="Q45" t="s">
        <v>249</v>
      </c>
      <c r="R45">
        <v>30</v>
      </c>
      <c r="S45" t="s">
        <v>22</v>
      </c>
    </row>
    <row r="46" spans="1:19" x14ac:dyDescent="0.25">
      <c r="A46" t="s">
        <v>50</v>
      </c>
      <c r="B46">
        <v>6</v>
      </c>
      <c r="C46" t="s">
        <v>109</v>
      </c>
      <c r="D46">
        <v>30</v>
      </c>
      <c r="E46" t="s">
        <v>22</v>
      </c>
      <c r="G46" t="s">
        <v>140</v>
      </c>
      <c r="H46" t="s">
        <v>46</v>
      </c>
      <c r="I46">
        <v>35</v>
      </c>
      <c r="J46" t="s">
        <v>140</v>
      </c>
      <c r="K46">
        <v>60</v>
      </c>
      <c r="L46" t="s">
        <v>22</v>
      </c>
      <c r="N46" t="s">
        <v>252</v>
      </c>
      <c r="O46" t="s">
        <v>67</v>
      </c>
      <c r="P46">
        <v>17</v>
      </c>
      <c r="Q46" t="s">
        <v>252</v>
      </c>
      <c r="R46">
        <v>60</v>
      </c>
      <c r="S46" t="s">
        <v>22</v>
      </c>
    </row>
    <row r="47" spans="1:19" x14ac:dyDescent="0.25">
      <c r="A47" t="s">
        <v>50</v>
      </c>
      <c r="B47">
        <v>7</v>
      </c>
      <c r="C47" t="s">
        <v>110</v>
      </c>
      <c r="D47">
        <v>30</v>
      </c>
      <c r="E47" t="s">
        <v>21</v>
      </c>
      <c r="G47" t="s">
        <v>141</v>
      </c>
      <c r="H47" t="s">
        <v>46</v>
      </c>
      <c r="I47">
        <v>36</v>
      </c>
      <c r="J47" t="s">
        <v>141</v>
      </c>
      <c r="K47">
        <v>60</v>
      </c>
      <c r="L47" t="s">
        <v>22</v>
      </c>
      <c r="N47" t="s">
        <v>245</v>
      </c>
      <c r="O47" t="s">
        <v>67</v>
      </c>
      <c r="P47">
        <v>18</v>
      </c>
      <c r="Q47" t="s">
        <v>245</v>
      </c>
      <c r="R47">
        <v>60</v>
      </c>
      <c r="S47" t="s">
        <v>22</v>
      </c>
    </row>
    <row r="48" spans="1:19" x14ac:dyDescent="0.25">
      <c r="A48" t="s">
        <v>50</v>
      </c>
      <c r="B48">
        <v>15</v>
      </c>
      <c r="C48" t="s">
        <v>122</v>
      </c>
      <c r="D48">
        <v>60</v>
      </c>
      <c r="E48" t="s">
        <v>22</v>
      </c>
      <c r="G48" t="s">
        <v>142</v>
      </c>
      <c r="H48" t="s">
        <v>46</v>
      </c>
      <c r="I48">
        <v>37</v>
      </c>
      <c r="J48" t="s">
        <v>142</v>
      </c>
      <c r="K48">
        <v>30</v>
      </c>
      <c r="L48" t="s">
        <v>22</v>
      </c>
      <c r="N48" t="s">
        <v>261</v>
      </c>
      <c r="O48" t="s">
        <v>67</v>
      </c>
      <c r="P48">
        <v>28</v>
      </c>
      <c r="Q48" t="s">
        <v>261</v>
      </c>
      <c r="R48">
        <v>60</v>
      </c>
      <c r="S48" t="s">
        <v>22</v>
      </c>
    </row>
    <row r="49" spans="1:19" x14ac:dyDescent="0.25">
      <c r="A49" t="s">
        <v>50</v>
      </c>
      <c r="B49">
        <v>16</v>
      </c>
      <c r="C49" t="s">
        <v>111</v>
      </c>
      <c r="D49">
        <v>30</v>
      </c>
      <c r="E49" t="s">
        <v>22</v>
      </c>
      <c r="G49" t="s">
        <v>143</v>
      </c>
      <c r="H49" t="s">
        <v>46</v>
      </c>
      <c r="I49">
        <v>38</v>
      </c>
      <c r="J49" t="s">
        <v>143</v>
      </c>
      <c r="K49">
        <v>60</v>
      </c>
      <c r="L49" t="s">
        <v>22</v>
      </c>
      <c r="N49" t="s">
        <v>262</v>
      </c>
      <c r="O49" t="s">
        <v>67</v>
      </c>
      <c r="P49">
        <v>29</v>
      </c>
      <c r="Q49" t="s">
        <v>262</v>
      </c>
      <c r="R49">
        <v>60</v>
      </c>
      <c r="S49" t="s">
        <v>22</v>
      </c>
    </row>
    <row r="50" spans="1:19" x14ac:dyDescent="0.25">
      <c r="A50" t="s">
        <v>50</v>
      </c>
      <c r="B50">
        <v>23</v>
      </c>
      <c r="C50" t="s">
        <v>112</v>
      </c>
      <c r="D50">
        <v>60</v>
      </c>
      <c r="E50" t="s">
        <v>22</v>
      </c>
      <c r="G50" t="s">
        <v>144</v>
      </c>
      <c r="H50" t="s">
        <v>46</v>
      </c>
      <c r="I50">
        <v>39</v>
      </c>
      <c r="J50" t="s">
        <v>144</v>
      </c>
      <c r="K50">
        <v>60</v>
      </c>
      <c r="L50" t="s">
        <v>22</v>
      </c>
      <c r="N50" t="s">
        <v>264</v>
      </c>
      <c r="O50" t="s">
        <v>67</v>
      </c>
      <c r="P50">
        <v>31</v>
      </c>
      <c r="Q50" t="s">
        <v>264</v>
      </c>
      <c r="R50">
        <v>30</v>
      </c>
      <c r="S50" t="s">
        <v>22</v>
      </c>
    </row>
    <row r="51" spans="1:19" x14ac:dyDescent="0.25">
      <c r="A51" t="s">
        <v>51</v>
      </c>
      <c r="B51">
        <v>1</v>
      </c>
      <c r="C51" t="s">
        <v>106</v>
      </c>
      <c r="D51">
        <v>30</v>
      </c>
      <c r="E51" t="s">
        <v>22</v>
      </c>
      <c r="G51" t="s">
        <v>145</v>
      </c>
      <c r="H51" t="s">
        <v>46</v>
      </c>
      <c r="I51">
        <v>40</v>
      </c>
      <c r="J51" t="s">
        <v>145</v>
      </c>
      <c r="K51">
        <v>60</v>
      </c>
      <c r="L51" t="s">
        <v>22</v>
      </c>
      <c r="N51" t="s">
        <v>268</v>
      </c>
      <c r="O51" t="s">
        <v>67</v>
      </c>
      <c r="P51">
        <v>35</v>
      </c>
      <c r="Q51" t="s">
        <v>268</v>
      </c>
      <c r="R51">
        <v>60</v>
      </c>
      <c r="S51" t="s">
        <v>22</v>
      </c>
    </row>
    <row r="52" spans="1:19" x14ac:dyDescent="0.25">
      <c r="A52" t="s">
        <v>51</v>
      </c>
      <c r="B52">
        <v>2</v>
      </c>
      <c r="C52" t="s">
        <v>107</v>
      </c>
      <c r="D52">
        <v>30</v>
      </c>
      <c r="E52" t="s">
        <v>21</v>
      </c>
      <c r="G52" t="s">
        <v>113</v>
      </c>
      <c r="H52" t="s">
        <v>47</v>
      </c>
      <c r="I52">
        <v>3</v>
      </c>
      <c r="J52" t="s">
        <v>113</v>
      </c>
      <c r="K52">
        <v>30</v>
      </c>
      <c r="L52" t="s">
        <v>22</v>
      </c>
      <c r="N52" t="s">
        <v>66</v>
      </c>
      <c r="O52" t="s">
        <v>68</v>
      </c>
      <c r="P52">
        <v>4</v>
      </c>
      <c r="Q52" t="s">
        <v>66</v>
      </c>
      <c r="R52">
        <v>30</v>
      </c>
      <c r="S52" t="s">
        <v>22</v>
      </c>
    </row>
    <row r="53" spans="1:19" x14ac:dyDescent="0.25">
      <c r="A53" t="s">
        <v>51</v>
      </c>
      <c r="B53">
        <v>5</v>
      </c>
      <c r="C53" t="s">
        <v>108</v>
      </c>
      <c r="D53">
        <v>30</v>
      </c>
      <c r="E53" t="s">
        <v>22</v>
      </c>
      <c r="G53" t="s">
        <v>123</v>
      </c>
      <c r="H53" t="s">
        <v>47</v>
      </c>
      <c r="I53">
        <v>17</v>
      </c>
      <c r="J53" t="s">
        <v>123</v>
      </c>
      <c r="K53">
        <v>30</v>
      </c>
      <c r="L53" t="s">
        <v>22</v>
      </c>
      <c r="N53" t="s">
        <v>247</v>
      </c>
      <c r="O53" t="s">
        <v>68</v>
      </c>
      <c r="P53">
        <v>6</v>
      </c>
      <c r="Q53" t="s">
        <v>247</v>
      </c>
      <c r="R53">
        <v>30</v>
      </c>
      <c r="S53" t="s">
        <v>22</v>
      </c>
    </row>
    <row r="54" spans="1:19" x14ac:dyDescent="0.25">
      <c r="A54" t="s">
        <v>51</v>
      </c>
      <c r="B54">
        <v>6</v>
      </c>
      <c r="C54" t="s">
        <v>109</v>
      </c>
      <c r="D54">
        <v>30</v>
      </c>
      <c r="E54" t="s">
        <v>22</v>
      </c>
      <c r="G54" t="s">
        <v>124</v>
      </c>
      <c r="H54" t="s">
        <v>47</v>
      </c>
      <c r="I54">
        <v>18</v>
      </c>
      <c r="J54" t="s">
        <v>124</v>
      </c>
      <c r="K54">
        <v>60</v>
      </c>
      <c r="L54" t="s">
        <v>22</v>
      </c>
      <c r="N54" t="s">
        <v>248</v>
      </c>
      <c r="O54" t="s">
        <v>68</v>
      </c>
      <c r="P54">
        <v>11</v>
      </c>
      <c r="Q54" t="s">
        <v>248</v>
      </c>
      <c r="R54">
        <v>30</v>
      </c>
      <c r="S54" t="s">
        <v>22</v>
      </c>
    </row>
    <row r="55" spans="1:19" x14ac:dyDescent="0.25">
      <c r="A55" t="s">
        <v>51</v>
      </c>
      <c r="B55">
        <v>7</v>
      </c>
      <c r="C55" t="s">
        <v>110</v>
      </c>
      <c r="D55">
        <v>30</v>
      </c>
      <c r="E55" t="s">
        <v>21</v>
      </c>
      <c r="G55" t="s">
        <v>128</v>
      </c>
      <c r="H55" t="s">
        <v>47</v>
      </c>
      <c r="I55">
        <v>22</v>
      </c>
      <c r="J55" t="s">
        <v>128</v>
      </c>
      <c r="K55">
        <v>60</v>
      </c>
      <c r="L55" t="s">
        <v>22</v>
      </c>
      <c r="N55" t="s">
        <v>243</v>
      </c>
      <c r="O55" t="s">
        <v>68</v>
      </c>
      <c r="P55">
        <v>12</v>
      </c>
      <c r="Q55" t="s">
        <v>243</v>
      </c>
      <c r="R55">
        <v>60</v>
      </c>
      <c r="S55" t="s">
        <v>22</v>
      </c>
    </row>
    <row r="56" spans="1:19" x14ac:dyDescent="0.25">
      <c r="A56" t="s">
        <v>51</v>
      </c>
      <c r="B56">
        <v>13</v>
      </c>
      <c r="C56" t="s">
        <v>120</v>
      </c>
      <c r="D56">
        <v>60</v>
      </c>
      <c r="E56" t="s">
        <v>22</v>
      </c>
      <c r="G56" t="s">
        <v>133</v>
      </c>
      <c r="H56" t="s">
        <v>47</v>
      </c>
      <c r="I56">
        <v>28</v>
      </c>
      <c r="J56" t="s">
        <v>133</v>
      </c>
      <c r="K56">
        <v>60</v>
      </c>
      <c r="L56" t="s">
        <v>22</v>
      </c>
      <c r="N56" t="s">
        <v>249</v>
      </c>
      <c r="O56" t="s">
        <v>68</v>
      </c>
      <c r="P56">
        <v>13</v>
      </c>
      <c r="Q56" t="s">
        <v>249</v>
      </c>
      <c r="R56">
        <v>30</v>
      </c>
      <c r="S56" t="s">
        <v>22</v>
      </c>
    </row>
    <row r="57" spans="1:19" x14ac:dyDescent="0.25">
      <c r="A57" t="s">
        <v>51</v>
      </c>
      <c r="B57">
        <v>16</v>
      </c>
      <c r="C57" t="s">
        <v>111</v>
      </c>
      <c r="D57">
        <v>30</v>
      </c>
      <c r="E57" t="s">
        <v>22</v>
      </c>
      <c r="G57" t="s">
        <v>134</v>
      </c>
      <c r="H57" t="s">
        <v>47</v>
      </c>
      <c r="I57">
        <v>29</v>
      </c>
      <c r="J57" t="s">
        <v>134</v>
      </c>
      <c r="K57">
        <v>60</v>
      </c>
      <c r="L57" t="s">
        <v>22</v>
      </c>
      <c r="N57" t="s">
        <v>250</v>
      </c>
      <c r="O57" t="s">
        <v>68</v>
      </c>
      <c r="P57">
        <v>14</v>
      </c>
      <c r="Q57" t="s">
        <v>250</v>
      </c>
      <c r="R57">
        <v>30</v>
      </c>
      <c r="S57" t="s">
        <v>22</v>
      </c>
    </row>
    <row r="58" spans="1:19" x14ac:dyDescent="0.25">
      <c r="A58" t="s">
        <v>51</v>
      </c>
      <c r="B58">
        <v>23</v>
      </c>
      <c r="C58" t="s">
        <v>112</v>
      </c>
      <c r="D58">
        <v>60</v>
      </c>
      <c r="E58" t="s">
        <v>22</v>
      </c>
      <c r="G58" t="s">
        <v>135</v>
      </c>
      <c r="H58" t="s">
        <v>47</v>
      </c>
      <c r="I58">
        <v>30</v>
      </c>
      <c r="J58" t="s">
        <v>135</v>
      </c>
      <c r="K58">
        <v>60</v>
      </c>
      <c r="L58" t="s">
        <v>22</v>
      </c>
      <c r="N58" t="s">
        <v>252</v>
      </c>
      <c r="O58" t="s">
        <v>68</v>
      </c>
      <c r="P58">
        <v>17</v>
      </c>
      <c r="Q58" t="s">
        <v>252</v>
      </c>
      <c r="R58">
        <v>60</v>
      </c>
      <c r="S58" t="s">
        <v>22</v>
      </c>
    </row>
    <row r="59" spans="1:19" x14ac:dyDescent="0.25">
      <c r="A59" t="s">
        <v>52</v>
      </c>
      <c r="B59">
        <v>1</v>
      </c>
      <c r="C59" t="s">
        <v>106</v>
      </c>
      <c r="D59">
        <v>30</v>
      </c>
      <c r="E59" t="s">
        <v>22</v>
      </c>
      <c r="G59" t="s">
        <v>141</v>
      </c>
      <c r="H59" t="s">
        <v>47</v>
      </c>
      <c r="I59">
        <v>36</v>
      </c>
      <c r="J59" t="s">
        <v>141</v>
      </c>
      <c r="K59">
        <v>60</v>
      </c>
      <c r="L59" t="s">
        <v>22</v>
      </c>
      <c r="N59" t="s">
        <v>245</v>
      </c>
      <c r="O59" t="s">
        <v>68</v>
      </c>
      <c r="P59">
        <v>18</v>
      </c>
      <c r="Q59" t="s">
        <v>245</v>
      </c>
      <c r="R59">
        <v>60</v>
      </c>
      <c r="S59" t="s">
        <v>22</v>
      </c>
    </row>
    <row r="60" spans="1:19" x14ac:dyDescent="0.25">
      <c r="A60" t="s">
        <v>52</v>
      </c>
      <c r="B60">
        <v>2</v>
      </c>
      <c r="C60" t="s">
        <v>107</v>
      </c>
      <c r="D60">
        <v>30</v>
      </c>
      <c r="E60" t="s">
        <v>21</v>
      </c>
      <c r="G60" t="s">
        <v>142</v>
      </c>
      <c r="H60" t="s">
        <v>47</v>
      </c>
      <c r="I60">
        <v>37</v>
      </c>
      <c r="J60" t="s">
        <v>142</v>
      </c>
      <c r="K60">
        <v>30</v>
      </c>
      <c r="L60" t="s">
        <v>22</v>
      </c>
      <c r="N60" t="s">
        <v>264</v>
      </c>
      <c r="O60" t="s">
        <v>68</v>
      </c>
      <c r="P60">
        <v>31</v>
      </c>
      <c r="Q60" t="s">
        <v>264</v>
      </c>
      <c r="R60">
        <v>30</v>
      </c>
      <c r="S60" t="s">
        <v>22</v>
      </c>
    </row>
    <row r="61" spans="1:19" x14ac:dyDescent="0.25">
      <c r="A61" t="s">
        <v>52</v>
      </c>
      <c r="B61">
        <v>5</v>
      </c>
      <c r="C61" t="s">
        <v>108</v>
      </c>
      <c r="D61">
        <v>30</v>
      </c>
      <c r="E61" t="s">
        <v>22</v>
      </c>
      <c r="G61" t="s">
        <v>144</v>
      </c>
      <c r="H61" t="s">
        <v>47</v>
      </c>
      <c r="I61">
        <v>39</v>
      </c>
      <c r="J61" t="s">
        <v>144</v>
      </c>
      <c r="K61">
        <v>60</v>
      </c>
      <c r="L61" t="s">
        <v>22</v>
      </c>
      <c r="N61" t="s">
        <v>265</v>
      </c>
      <c r="O61" t="s">
        <v>68</v>
      </c>
      <c r="P61">
        <v>32</v>
      </c>
      <c r="Q61" t="s">
        <v>265</v>
      </c>
      <c r="R61">
        <v>30</v>
      </c>
      <c r="S61" t="s">
        <v>22</v>
      </c>
    </row>
    <row r="62" spans="1:19" x14ac:dyDescent="0.25">
      <c r="A62" t="s">
        <v>52</v>
      </c>
      <c r="B62">
        <v>6</v>
      </c>
      <c r="C62" t="s">
        <v>109</v>
      </c>
      <c r="D62">
        <v>30</v>
      </c>
      <c r="E62" t="s">
        <v>22</v>
      </c>
      <c r="G62" t="s">
        <v>145</v>
      </c>
      <c r="H62" t="s">
        <v>47</v>
      </c>
      <c r="I62">
        <v>40</v>
      </c>
      <c r="J62" t="s">
        <v>145</v>
      </c>
      <c r="K62">
        <v>60</v>
      </c>
      <c r="L62" t="s">
        <v>22</v>
      </c>
      <c r="N62" t="s">
        <v>268</v>
      </c>
      <c r="O62" t="s">
        <v>68</v>
      </c>
      <c r="P62">
        <v>35</v>
      </c>
      <c r="Q62" t="s">
        <v>268</v>
      </c>
      <c r="R62">
        <v>60</v>
      </c>
      <c r="S62" t="s">
        <v>22</v>
      </c>
    </row>
    <row r="63" spans="1:19" x14ac:dyDescent="0.25">
      <c r="A63" t="s">
        <v>52</v>
      </c>
      <c r="B63">
        <v>7</v>
      </c>
      <c r="C63" t="s">
        <v>110</v>
      </c>
      <c r="D63">
        <v>30</v>
      </c>
      <c r="E63" t="s">
        <v>21</v>
      </c>
      <c r="G63" t="s">
        <v>113</v>
      </c>
      <c r="H63" t="s">
        <v>48</v>
      </c>
      <c r="I63">
        <v>3</v>
      </c>
      <c r="J63" t="s">
        <v>113</v>
      </c>
      <c r="K63">
        <v>30</v>
      </c>
      <c r="L63" t="s">
        <v>22</v>
      </c>
      <c r="N63" t="s">
        <v>294</v>
      </c>
      <c r="O63" t="s">
        <v>64</v>
      </c>
      <c r="P63">
        <v>4</v>
      </c>
      <c r="Q63" t="s">
        <v>294</v>
      </c>
      <c r="R63">
        <v>30</v>
      </c>
      <c r="S63" t="s">
        <v>22</v>
      </c>
    </row>
    <row r="64" spans="1:19" x14ac:dyDescent="0.25">
      <c r="A64" t="s">
        <v>52</v>
      </c>
      <c r="B64">
        <v>11</v>
      </c>
      <c r="C64" t="s">
        <v>118</v>
      </c>
      <c r="D64">
        <v>60</v>
      </c>
      <c r="E64" t="s">
        <v>22</v>
      </c>
      <c r="G64" t="s">
        <v>116</v>
      </c>
      <c r="H64" t="s">
        <v>48</v>
      </c>
      <c r="I64">
        <v>9</v>
      </c>
      <c r="J64" t="s">
        <v>116</v>
      </c>
      <c r="K64">
        <v>60</v>
      </c>
      <c r="L64" t="s">
        <v>22</v>
      </c>
      <c r="N64" t="s">
        <v>295</v>
      </c>
      <c r="O64" t="s">
        <v>64</v>
      </c>
      <c r="P64">
        <v>5</v>
      </c>
      <c r="Q64" t="s">
        <v>295</v>
      </c>
      <c r="R64">
        <v>30</v>
      </c>
      <c r="S64" t="s">
        <v>22</v>
      </c>
    </row>
    <row r="65" spans="1:19" x14ac:dyDescent="0.25">
      <c r="A65" t="s">
        <v>52</v>
      </c>
      <c r="B65">
        <v>16</v>
      </c>
      <c r="C65" t="s">
        <v>111</v>
      </c>
      <c r="D65">
        <v>30</v>
      </c>
      <c r="E65" t="s">
        <v>22</v>
      </c>
      <c r="G65" t="s">
        <v>121</v>
      </c>
      <c r="H65" t="s">
        <v>48</v>
      </c>
      <c r="I65">
        <v>14</v>
      </c>
      <c r="J65" t="s">
        <v>121</v>
      </c>
      <c r="K65">
        <v>60</v>
      </c>
      <c r="L65" t="s">
        <v>22</v>
      </c>
      <c r="N65" t="s">
        <v>296</v>
      </c>
      <c r="O65" t="s">
        <v>64</v>
      </c>
      <c r="P65">
        <v>6</v>
      </c>
      <c r="Q65" t="s">
        <v>296</v>
      </c>
      <c r="R65">
        <v>30</v>
      </c>
      <c r="S65" t="s">
        <v>22</v>
      </c>
    </row>
    <row r="66" spans="1:19" x14ac:dyDescent="0.25">
      <c r="A66" t="s">
        <v>52</v>
      </c>
      <c r="B66">
        <v>23</v>
      </c>
      <c r="C66" t="s">
        <v>112</v>
      </c>
      <c r="D66">
        <v>60</v>
      </c>
      <c r="E66" t="s">
        <v>22</v>
      </c>
      <c r="G66" t="s">
        <v>122</v>
      </c>
      <c r="H66" t="s">
        <v>48</v>
      </c>
      <c r="I66">
        <v>15</v>
      </c>
      <c r="J66" t="s">
        <v>122</v>
      </c>
      <c r="K66">
        <v>60</v>
      </c>
      <c r="L66" t="s">
        <v>22</v>
      </c>
      <c r="N66" t="s">
        <v>297</v>
      </c>
      <c r="O66" t="s">
        <v>64</v>
      </c>
      <c r="P66">
        <v>11</v>
      </c>
      <c r="Q66" t="s">
        <v>297</v>
      </c>
      <c r="R66">
        <v>30</v>
      </c>
      <c r="S66" t="s">
        <v>22</v>
      </c>
    </row>
    <row r="67" spans="1:19" x14ac:dyDescent="0.25">
      <c r="A67" t="s">
        <v>53</v>
      </c>
      <c r="B67">
        <v>1</v>
      </c>
      <c r="C67" t="s">
        <v>152</v>
      </c>
      <c r="D67">
        <v>30</v>
      </c>
      <c r="E67" t="s">
        <v>22</v>
      </c>
      <c r="G67" t="s">
        <v>123</v>
      </c>
      <c r="H67" t="s">
        <v>48</v>
      </c>
      <c r="I67">
        <v>17</v>
      </c>
      <c r="J67" t="s">
        <v>123</v>
      </c>
      <c r="K67">
        <v>30</v>
      </c>
      <c r="L67" t="s">
        <v>22</v>
      </c>
      <c r="N67" t="s">
        <v>298</v>
      </c>
      <c r="O67" t="s">
        <v>64</v>
      </c>
      <c r="P67">
        <v>22</v>
      </c>
      <c r="Q67" t="s">
        <v>298</v>
      </c>
      <c r="R67">
        <v>30</v>
      </c>
      <c r="S67" t="s">
        <v>22</v>
      </c>
    </row>
    <row r="68" spans="1:19" x14ac:dyDescent="0.25">
      <c r="A68" t="s">
        <v>53</v>
      </c>
      <c r="B68">
        <v>2</v>
      </c>
      <c r="C68" t="s">
        <v>153</v>
      </c>
      <c r="D68">
        <v>30</v>
      </c>
      <c r="E68" t="s">
        <v>21</v>
      </c>
      <c r="G68" t="s">
        <v>128</v>
      </c>
      <c r="H68" t="s">
        <v>48</v>
      </c>
      <c r="I68">
        <v>22</v>
      </c>
      <c r="J68" t="s">
        <v>128</v>
      </c>
      <c r="K68">
        <v>60</v>
      </c>
      <c r="L68" t="s">
        <v>22</v>
      </c>
      <c r="N68" t="s">
        <v>299</v>
      </c>
      <c r="O68" t="s">
        <v>64</v>
      </c>
      <c r="P68">
        <v>23</v>
      </c>
      <c r="Q68" t="s">
        <v>299</v>
      </c>
      <c r="R68">
        <v>30</v>
      </c>
      <c r="S68" t="s">
        <v>22</v>
      </c>
    </row>
    <row r="69" spans="1:19" x14ac:dyDescent="0.25">
      <c r="A69" t="s">
        <v>53</v>
      </c>
      <c r="B69">
        <v>3</v>
      </c>
      <c r="C69" t="s">
        <v>154</v>
      </c>
      <c r="D69">
        <v>30</v>
      </c>
      <c r="E69" t="s">
        <v>22</v>
      </c>
      <c r="G69" t="s">
        <v>130</v>
      </c>
      <c r="H69" t="s">
        <v>48</v>
      </c>
      <c r="I69">
        <v>25</v>
      </c>
      <c r="J69" t="s">
        <v>130</v>
      </c>
      <c r="K69">
        <v>60</v>
      </c>
      <c r="L69" t="s">
        <v>22</v>
      </c>
      <c r="N69" t="s">
        <v>300</v>
      </c>
      <c r="O69" t="s">
        <v>64</v>
      </c>
      <c r="P69">
        <v>24</v>
      </c>
      <c r="Q69" t="s">
        <v>300</v>
      </c>
      <c r="R69">
        <v>30</v>
      </c>
      <c r="S69" t="s">
        <v>22</v>
      </c>
    </row>
    <row r="70" spans="1:19" x14ac:dyDescent="0.25">
      <c r="A70" t="s">
        <v>53</v>
      </c>
      <c r="B70">
        <v>9</v>
      </c>
      <c r="C70" t="s">
        <v>155</v>
      </c>
      <c r="D70">
        <v>30</v>
      </c>
      <c r="E70" t="s">
        <v>21</v>
      </c>
      <c r="G70" t="s">
        <v>133</v>
      </c>
      <c r="H70" t="s">
        <v>48</v>
      </c>
      <c r="I70">
        <v>28</v>
      </c>
      <c r="J70" t="s">
        <v>133</v>
      </c>
      <c r="K70">
        <v>60</v>
      </c>
      <c r="L70" t="s">
        <v>22</v>
      </c>
      <c r="N70" t="s">
        <v>301</v>
      </c>
      <c r="O70" t="s">
        <v>64</v>
      </c>
      <c r="P70">
        <v>25</v>
      </c>
      <c r="Q70" t="s">
        <v>301</v>
      </c>
      <c r="R70">
        <v>30</v>
      </c>
      <c r="S70" t="s">
        <v>22</v>
      </c>
    </row>
    <row r="71" spans="1:19" x14ac:dyDescent="0.25">
      <c r="A71" t="s">
        <v>53</v>
      </c>
      <c r="B71">
        <v>18</v>
      </c>
      <c r="C71" t="s">
        <v>156</v>
      </c>
      <c r="D71">
        <v>60</v>
      </c>
      <c r="E71" t="s">
        <v>22</v>
      </c>
      <c r="G71" t="s">
        <v>134</v>
      </c>
      <c r="H71" t="s">
        <v>48</v>
      </c>
      <c r="I71">
        <v>29</v>
      </c>
      <c r="J71" t="s">
        <v>134</v>
      </c>
      <c r="K71">
        <v>60</v>
      </c>
      <c r="L71" t="s">
        <v>22</v>
      </c>
      <c r="N71" t="s">
        <v>344</v>
      </c>
      <c r="O71" t="s">
        <v>70</v>
      </c>
      <c r="P71">
        <v>4</v>
      </c>
      <c r="Q71" t="s">
        <v>344</v>
      </c>
      <c r="R71">
        <v>30</v>
      </c>
      <c r="S71" t="s">
        <v>22</v>
      </c>
    </row>
    <row r="72" spans="1:19" x14ac:dyDescent="0.25">
      <c r="A72" t="s">
        <v>53</v>
      </c>
      <c r="B72">
        <v>19</v>
      </c>
      <c r="C72" t="s">
        <v>157</v>
      </c>
      <c r="D72">
        <v>60</v>
      </c>
      <c r="E72" t="s">
        <v>22</v>
      </c>
      <c r="G72" t="s">
        <v>138</v>
      </c>
      <c r="H72" t="s">
        <v>48</v>
      </c>
      <c r="I72">
        <v>33</v>
      </c>
      <c r="J72" t="s">
        <v>138</v>
      </c>
      <c r="K72">
        <v>60</v>
      </c>
      <c r="L72" t="s">
        <v>22</v>
      </c>
      <c r="N72" t="s">
        <v>345</v>
      </c>
      <c r="O72" t="s">
        <v>70</v>
      </c>
      <c r="P72">
        <v>5</v>
      </c>
      <c r="Q72" t="s">
        <v>345</v>
      </c>
      <c r="R72">
        <v>30</v>
      </c>
      <c r="S72" t="s">
        <v>22</v>
      </c>
    </row>
    <row r="73" spans="1:19" x14ac:dyDescent="0.25">
      <c r="A73" t="s">
        <v>58</v>
      </c>
      <c r="B73">
        <v>1</v>
      </c>
      <c r="C73" t="s">
        <v>184</v>
      </c>
      <c r="D73">
        <v>30</v>
      </c>
      <c r="E73" t="s">
        <v>21</v>
      </c>
      <c r="G73" t="s">
        <v>140</v>
      </c>
      <c r="H73" t="s">
        <v>48</v>
      </c>
      <c r="I73">
        <v>35</v>
      </c>
      <c r="J73" t="s">
        <v>140</v>
      </c>
      <c r="K73">
        <v>60</v>
      </c>
      <c r="L73" t="s">
        <v>22</v>
      </c>
      <c r="N73" t="s">
        <v>346</v>
      </c>
      <c r="O73" t="s">
        <v>70</v>
      </c>
      <c r="P73">
        <v>6</v>
      </c>
      <c r="Q73" t="s">
        <v>346</v>
      </c>
      <c r="R73">
        <v>30</v>
      </c>
      <c r="S73" t="s">
        <v>22</v>
      </c>
    </row>
    <row r="74" spans="1:19" x14ac:dyDescent="0.25">
      <c r="A74" t="s">
        <v>58</v>
      </c>
      <c r="B74">
        <v>2</v>
      </c>
      <c r="C74" t="s">
        <v>185</v>
      </c>
      <c r="D74">
        <v>30</v>
      </c>
      <c r="E74" t="s">
        <v>22</v>
      </c>
      <c r="G74" t="s">
        <v>141</v>
      </c>
      <c r="H74" t="s">
        <v>48</v>
      </c>
      <c r="I74">
        <v>36</v>
      </c>
      <c r="J74" t="s">
        <v>141</v>
      </c>
      <c r="K74">
        <v>60</v>
      </c>
      <c r="L74" t="s">
        <v>22</v>
      </c>
      <c r="N74" t="s">
        <v>347</v>
      </c>
      <c r="O74" t="s">
        <v>70</v>
      </c>
      <c r="P74">
        <v>7</v>
      </c>
      <c r="Q74" t="s">
        <v>347</v>
      </c>
      <c r="R74">
        <v>30</v>
      </c>
      <c r="S74" t="s">
        <v>22</v>
      </c>
    </row>
    <row r="75" spans="1:19" x14ac:dyDescent="0.25">
      <c r="A75" t="s">
        <v>58</v>
      </c>
      <c r="B75">
        <v>3</v>
      </c>
      <c r="C75" t="s">
        <v>186</v>
      </c>
      <c r="D75">
        <v>30</v>
      </c>
      <c r="E75" t="s">
        <v>22</v>
      </c>
      <c r="G75" t="s">
        <v>142</v>
      </c>
      <c r="H75" t="s">
        <v>48</v>
      </c>
      <c r="I75">
        <v>37</v>
      </c>
      <c r="J75" t="s">
        <v>142</v>
      </c>
      <c r="K75">
        <v>30</v>
      </c>
      <c r="L75" t="s">
        <v>22</v>
      </c>
      <c r="N75" t="s">
        <v>348</v>
      </c>
      <c r="O75" t="s">
        <v>70</v>
      </c>
      <c r="P75">
        <v>8</v>
      </c>
      <c r="Q75" t="s">
        <v>348</v>
      </c>
      <c r="R75">
        <v>30</v>
      </c>
      <c r="S75" t="s">
        <v>22</v>
      </c>
    </row>
    <row r="76" spans="1:19" x14ac:dyDescent="0.25">
      <c r="A76" t="s">
        <v>58</v>
      </c>
      <c r="B76">
        <v>4</v>
      </c>
      <c r="C76" t="s">
        <v>187</v>
      </c>
      <c r="D76">
        <v>30</v>
      </c>
      <c r="E76" t="s">
        <v>22</v>
      </c>
      <c r="G76" t="s">
        <v>113</v>
      </c>
      <c r="H76" t="s">
        <v>49</v>
      </c>
      <c r="I76">
        <v>3</v>
      </c>
      <c r="J76" t="s">
        <v>113</v>
      </c>
      <c r="K76">
        <v>30</v>
      </c>
      <c r="L76" t="s">
        <v>22</v>
      </c>
      <c r="N76" t="s">
        <v>349</v>
      </c>
      <c r="O76" t="s">
        <v>70</v>
      </c>
      <c r="P76">
        <v>9</v>
      </c>
      <c r="Q76" t="s">
        <v>349</v>
      </c>
      <c r="R76">
        <v>30</v>
      </c>
      <c r="S76" t="s">
        <v>22</v>
      </c>
    </row>
    <row r="77" spans="1:19" x14ac:dyDescent="0.25">
      <c r="A77" t="s">
        <v>58</v>
      </c>
      <c r="B77">
        <v>11</v>
      </c>
      <c r="C77" t="s">
        <v>188</v>
      </c>
      <c r="D77">
        <v>30</v>
      </c>
      <c r="E77" t="s">
        <v>21</v>
      </c>
      <c r="G77" t="s">
        <v>114</v>
      </c>
      <c r="H77" t="s">
        <v>49</v>
      </c>
      <c r="I77">
        <v>4</v>
      </c>
      <c r="J77" t="s">
        <v>114</v>
      </c>
      <c r="K77">
        <v>30</v>
      </c>
      <c r="L77" t="s">
        <v>22</v>
      </c>
      <c r="N77" t="s">
        <v>350</v>
      </c>
      <c r="O77" t="s">
        <v>70</v>
      </c>
      <c r="P77">
        <v>20</v>
      </c>
      <c r="Q77" t="s">
        <v>350</v>
      </c>
      <c r="R77">
        <v>30</v>
      </c>
      <c r="S77" t="s">
        <v>22</v>
      </c>
    </row>
    <row r="78" spans="1:19" x14ac:dyDescent="0.25">
      <c r="A78" t="s">
        <v>58</v>
      </c>
      <c r="B78">
        <v>12</v>
      </c>
      <c r="C78" t="s">
        <v>188</v>
      </c>
      <c r="D78">
        <v>30</v>
      </c>
      <c r="E78" t="s">
        <v>22</v>
      </c>
      <c r="G78" t="s">
        <v>115</v>
      </c>
      <c r="H78" t="s">
        <v>49</v>
      </c>
      <c r="I78">
        <v>8</v>
      </c>
      <c r="J78" t="s">
        <v>115</v>
      </c>
      <c r="K78">
        <v>30</v>
      </c>
      <c r="L78" t="s">
        <v>22</v>
      </c>
      <c r="N78" t="s">
        <v>351</v>
      </c>
      <c r="O78" t="s">
        <v>70</v>
      </c>
      <c r="P78">
        <v>25</v>
      </c>
      <c r="Q78" t="s">
        <v>351</v>
      </c>
      <c r="R78">
        <v>30</v>
      </c>
      <c r="S78" t="s">
        <v>22</v>
      </c>
    </row>
    <row r="79" spans="1:19" x14ac:dyDescent="0.25">
      <c r="A79" t="s">
        <v>58</v>
      </c>
      <c r="B79">
        <v>21</v>
      </c>
      <c r="C79" t="s">
        <v>189</v>
      </c>
      <c r="D79">
        <v>60</v>
      </c>
      <c r="E79" t="s">
        <v>22</v>
      </c>
      <c r="G79" t="s">
        <v>123</v>
      </c>
      <c r="H79" t="s">
        <v>49</v>
      </c>
      <c r="I79">
        <v>17</v>
      </c>
      <c r="J79" t="s">
        <v>123</v>
      </c>
      <c r="K79">
        <v>30</v>
      </c>
      <c r="L79" t="s">
        <v>22</v>
      </c>
      <c r="N79" t="s">
        <v>395</v>
      </c>
      <c r="O79" t="s">
        <v>74</v>
      </c>
      <c r="P79">
        <v>10</v>
      </c>
      <c r="Q79" t="s">
        <v>395</v>
      </c>
      <c r="R79">
        <v>30</v>
      </c>
      <c r="S79" t="s">
        <v>22</v>
      </c>
    </row>
    <row r="80" spans="1:19" x14ac:dyDescent="0.25">
      <c r="A80" t="s">
        <v>59</v>
      </c>
      <c r="B80">
        <v>1</v>
      </c>
      <c r="C80" t="s">
        <v>212</v>
      </c>
      <c r="D80">
        <v>30</v>
      </c>
      <c r="E80" t="s">
        <v>21</v>
      </c>
      <c r="G80" t="s">
        <v>125</v>
      </c>
      <c r="H80" t="s">
        <v>49</v>
      </c>
      <c r="I80">
        <v>19</v>
      </c>
      <c r="J80" t="s">
        <v>125</v>
      </c>
      <c r="K80">
        <v>60</v>
      </c>
      <c r="L80" t="s">
        <v>22</v>
      </c>
      <c r="N80" t="s">
        <v>396</v>
      </c>
      <c r="O80" t="s">
        <v>74</v>
      </c>
      <c r="P80">
        <v>11</v>
      </c>
      <c r="Q80" t="s">
        <v>396</v>
      </c>
      <c r="R80">
        <v>30</v>
      </c>
      <c r="S80" t="s">
        <v>22</v>
      </c>
    </row>
    <row r="81" spans="1:19" x14ac:dyDescent="0.25">
      <c r="A81" t="s">
        <v>59</v>
      </c>
      <c r="B81">
        <v>2</v>
      </c>
      <c r="C81" t="s">
        <v>213</v>
      </c>
      <c r="D81">
        <v>30</v>
      </c>
      <c r="E81" t="s">
        <v>22</v>
      </c>
      <c r="G81" t="s">
        <v>131</v>
      </c>
      <c r="H81" t="s">
        <v>49</v>
      </c>
      <c r="I81">
        <v>26</v>
      </c>
      <c r="J81" t="s">
        <v>131</v>
      </c>
      <c r="K81">
        <v>60</v>
      </c>
      <c r="L81" t="s">
        <v>22</v>
      </c>
      <c r="N81" t="s">
        <v>397</v>
      </c>
      <c r="O81" t="s">
        <v>74</v>
      </c>
      <c r="P81">
        <v>12</v>
      </c>
      <c r="Q81" t="s">
        <v>397</v>
      </c>
      <c r="R81">
        <v>30</v>
      </c>
      <c r="S81" t="s">
        <v>22</v>
      </c>
    </row>
    <row r="82" spans="1:19" x14ac:dyDescent="0.25">
      <c r="A82" t="s">
        <v>59</v>
      </c>
      <c r="B82">
        <v>8</v>
      </c>
      <c r="C82" t="s">
        <v>214</v>
      </c>
      <c r="D82">
        <v>30</v>
      </c>
      <c r="E82" t="s">
        <v>21</v>
      </c>
      <c r="G82" t="s">
        <v>136</v>
      </c>
      <c r="H82" t="s">
        <v>49</v>
      </c>
      <c r="I82">
        <v>31</v>
      </c>
      <c r="J82" t="s">
        <v>136</v>
      </c>
      <c r="K82">
        <v>60</v>
      </c>
      <c r="L82" t="s">
        <v>22</v>
      </c>
      <c r="N82" t="s">
        <v>398</v>
      </c>
      <c r="O82" t="s">
        <v>74</v>
      </c>
      <c r="P82">
        <v>13</v>
      </c>
      <c r="Q82" t="s">
        <v>398</v>
      </c>
      <c r="R82">
        <v>30</v>
      </c>
      <c r="S82" t="s">
        <v>22</v>
      </c>
    </row>
    <row r="83" spans="1:19" x14ac:dyDescent="0.25">
      <c r="A83" t="s">
        <v>59</v>
      </c>
      <c r="B83">
        <v>21</v>
      </c>
      <c r="C83" t="s">
        <v>215</v>
      </c>
      <c r="D83">
        <v>60</v>
      </c>
      <c r="E83" t="s">
        <v>22</v>
      </c>
      <c r="G83" t="s">
        <v>137</v>
      </c>
      <c r="H83" t="s">
        <v>49</v>
      </c>
      <c r="I83">
        <v>32</v>
      </c>
      <c r="J83" t="s">
        <v>137</v>
      </c>
      <c r="K83">
        <v>60</v>
      </c>
      <c r="L83" t="s">
        <v>22</v>
      </c>
      <c r="N83" t="s">
        <v>399</v>
      </c>
      <c r="O83" t="s">
        <v>74</v>
      </c>
      <c r="P83">
        <v>14</v>
      </c>
      <c r="Q83" t="s">
        <v>399</v>
      </c>
      <c r="R83">
        <v>30</v>
      </c>
      <c r="S83" t="s">
        <v>22</v>
      </c>
    </row>
    <row r="84" spans="1:19" x14ac:dyDescent="0.25">
      <c r="A84" t="s">
        <v>59</v>
      </c>
      <c r="B84">
        <v>22</v>
      </c>
      <c r="C84" t="s">
        <v>216</v>
      </c>
      <c r="D84">
        <v>60</v>
      </c>
      <c r="E84" t="s">
        <v>22</v>
      </c>
      <c r="G84" t="s">
        <v>138</v>
      </c>
      <c r="H84" t="s">
        <v>49</v>
      </c>
      <c r="I84">
        <v>33</v>
      </c>
      <c r="J84" t="s">
        <v>138</v>
      </c>
      <c r="K84">
        <v>60</v>
      </c>
      <c r="L84" t="s">
        <v>22</v>
      </c>
      <c r="N84" t="s">
        <v>400</v>
      </c>
      <c r="O84" t="s">
        <v>74</v>
      </c>
      <c r="P84">
        <v>15</v>
      </c>
      <c r="Q84" t="s">
        <v>400</v>
      </c>
      <c r="R84">
        <v>30</v>
      </c>
      <c r="S84" t="s">
        <v>22</v>
      </c>
    </row>
    <row r="85" spans="1:19" x14ac:dyDescent="0.25">
      <c r="A85" t="s">
        <v>60</v>
      </c>
      <c r="B85">
        <v>1</v>
      </c>
      <c r="C85" t="s">
        <v>234</v>
      </c>
      <c r="D85">
        <v>30</v>
      </c>
      <c r="E85" t="s">
        <v>21</v>
      </c>
      <c r="G85" t="s">
        <v>139</v>
      </c>
      <c r="H85" t="s">
        <v>49</v>
      </c>
      <c r="I85">
        <v>34</v>
      </c>
      <c r="J85" t="s">
        <v>139</v>
      </c>
      <c r="K85">
        <v>60</v>
      </c>
      <c r="L85" t="s">
        <v>22</v>
      </c>
      <c r="N85" t="s">
        <v>401</v>
      </c>
      <c r="O85" t="s">
        <v>74</v>
      </c>
      <c r="P85">
        <v>16</v>
      </c>
      <c r="Q85" t="s">
        <v>401</v>
      </c>
      <c r="R85">
        <v>30</v>
      </c>
      <c r="S85" t="s">
        <v>22</v>
      </c>
    </row>
    <row r="86" spans="1:19" x14ac:dyDescent="0.25">
      <c r="A86" t="s">
        <v>60</v>
      </c>
      <c r="B86">
        <v>2</v>
      </c>
      <c r="C86" t="s">
        <v>235</v>
      </c>
      <c r="D86">
        <v>30</v>
      </c>
      <c r="E86" t="s">
        <v>22</v>
      </c>
      <c r="G86" t="s">
        <v>142</v>
      </c>
      <c r="H86" t="s">
        <v>49</v>
      </c>
      <c r="I86">
        <v>37</v>
      </c>
      <c r="J86" t="s">
        <v>142</v>
      </c>
      <c r="K86">
        <v>30</v>
      </c>
      <c r="L86" t="s">
        <v>22</v>
      </c>
      <c r="N86" t="s">
        <v>402</v>
      </c>
      <c r="O86" t="s">
        <v>74</v>
      </c>
      <c r="P86">
        <v>17</v>
      </c>
      <c r="Q86" t="s">
        <v>402</v>
      </c>
      <c r="R86">
        <v>30</v>
      </c>
      <c r="S86" t="s">
        <v>22</v>
      </c>
    </row>
    <row r="87" spans="1:19" x14ac:dyDescent="0.25">
      <c r="A87" t="s">
        <v>60</v>
      </c>
      <c r="B87">
        <v>3</v>
      </c>
      <c r="C87" t="s">
        <v>236</v>
      </c>
      <c r="D87">
        <v>30</v>
      </c>
      <c r="E87" t="s">
        <v>22</v>
      </c>
      <c r="G87" t="s">
        <v>113</v>
      </c>
      <c r="H87" t="s">
        <v>50</v>
      </c>
      <c r="I87">
        <v>3</v>
      </c>
      <c r="J87" t="s">
        <v>113</v>
      </c>
      <c r="K87">
        <v>30</v>
      </c>
      <c r="L87" t="s">
        <v>22</v>
      </c>
      <c r="N87" t="s">
        <v>403</v>
      </c>
      <c r="O87" t="s">
        <v>74</v>
      </c>
      <c r="P87">
        <v>18</v>
      </c>
      <c r="Q87" t="s">
        <v>403</v>
      </c>
      <c r="R87">
        <v>30</v>
      </c>
      <c r="S87" t="s">
        <v>22</v>
      </c>
    </row>
    <row r="88" spans="1:19" x14ac:dyDescent="0.25">
      <c r="A88" t="s">
        <v>60</v>
      </c>
      <c r="B88">
        <v>5</v>
      </c>
      <c r="C88" t="s">
        <v>237</v>
      </c>
      <c r="D88">
        <v>30</v>
      </c>
      <c r="E88" t="s">
        <v>22</v>
      </c>
      <c r="G88" t="s">
        <v>114</v>
      </c>
      <c r="H88" t="s">
        <v>50</v>
      </c>
      <c r="I88">
        <v>4</v>
      </c>
      <c r="J88" t="s">
        <v>114</v>
      </c>
      <c r="K88">
        <v>30</v>
      </c>
      <c r="L88" t="s">
        <v>22</v>
      </c>
      <c r="N88" t="s">
        <v>404</v>
      </c>
      <c r="O88" t="s">
        <v>74</v>
      </c>
      <c r="P88">
        <v>19</v>
      </c>
      <c r="Q88" t="s">
        <v>404</v>
      </c>
      <c r="R88">
        <v>30</v>
      </c>
      <c r="S88" t="s">
        <v>22</v>
      </c>
    </row>
    <row r="89" spans="1:19" x14ac:dyDescent="0.25">
      <c r="A89" t="s">
        <v>60</v>
      </c>
      <c r="B89">
        <v>9</v>
      </c>
      <c r="C89" t="s">
        <v>238</v>
      </c>
      <c r="D89">
        <v>30</v>
      </c>
      <c r="E89" t="s">
        <v>21</v>
      </c>
      <c r="G89" t="s">
        <v>115</v>
      </c>
      <c r="H89" t="s">
        <v>50</v>
      </c>
      <c r="I89">
        <v>8</v>
      </c>
      <c r="J89" t="s">
        <v>115</v>
      </c>
      <c r="K89">
        <v>30</v>
      </c>
      <c r="L89" t="s">
        <v>22</v>
      </c>
      <c r="N89" t="s">
        <v>405</v>
      </c>
      <c r="O89" t="s">
        <v>74</v>
      </c>
      <c r="P89">
        <v>20</v>
      </c>
      <c r="Q89" t="s">
        <v>405</v>
      </c>
      <c r="R89">
        <v>30</v>
      </c>
      <c r="S89" t="s">
        <v>22</v>
      </c>
    </row>
    <row r="90" spans="1:19" x14ac:dyDescent="0.25">
      <c r="A90" t="s">
        <v>60</v>
      </c>
      <c r="B90">
        <v>10</v>
      </c>
      <c r="C90" t="s">
        <v>239</v>
      </c>
      <c r="D90">
        <v>30</v>
      </c>
      <c r="E90" t="s">
        <v>22</v>
      </c>
      <c r="G90" t="s">
        <v>117</v>
      </c>
      <c r="H90" t="s">
        <v>50</v>
      </c>
      <c r="I90">
        <v>10</v>
      </c>
      <c r="J90" t="s">
        <v>117</v>
      </c>
      <c r="K90">
        <v>60</v>
      </c>
      <c r="L90" t="s">
        <v>22</v>
      </c>
      <c r="N90" t="s">
        <v>406</v>
      </c>
      <c r="O90" t="s">
        <v>74</v>
      </c>
      <c r="P90">
        <v>21</v>
      </c>
      <c r="Q90" t="s">
        <v>406</v>
      </c>
      <c r="R90">
        <v>30</v>
      </c>
      <c r="S90" t="s">
        <v>22</v>
      </c>
    </row>
    <row r="91" spans="1:19" x14ac:dyDescent="0.25">
      <c r="A91" t="s">
        <v>60</v>
      </c>
      <c r="B91">
        <v>21</v>
      </c>
      <c r="C91" t="s">
        <v>240</v>
      </c>
      <c r="D91">
        <v>60</v>
      </c>
      <c r="E91" t="s">
        <v>22</v>
      </c>
      <c r="G91" t="s">
        <v>118</v>
      </c>
      <c r="H91" t="s">
        <v>50</v>
      </c>
      <c r="I91">
        <v>11</v>
      </c>
      <c r="J91" t="s">
        <v>118</v>
      </c>
      <c r="K91">
        <v>60</v>
      </c>
      <c r="L91" t="s">
        <v>22</v>
      </c>
      <c r="N91" t="s">
        <v>407</v>
      </c>
      <c r="O91" t="s">
        <v>74</v>
      </c>
      <c r="P91">
        <v>22</v>
      </c>
      <c r="Q91" t="s">
        <v>407</v>
      </c>
      <c r="R91">
        <v>30</v>
      </c>
      <c r="S91" t="s">
        <v>22</v>
      </c>
    </row>
    <row r="92" spans="1:19" x14ac:dyDescent="0.25">
      <c r="A92" t="s">
        <v>65</v>
      </c>
      <c r="B92">
        <v>1</v>
      </c>
      <c r="C92" t="s">
        <v>234</v>
      </c>
      <c r="D92">
        <v>30</v>
      </c>
      <c r="E92" t="s">
        <v>21</v>
      </c>
      <c r="G92" t="s">
        <v>119</v>
      </c>
      <c r="H92" t="s">
        <v>50</v>
      </c>
      <c r="I92">
        <v>12</v>
      </c>
      <c r="J92" t="s">
        <v>119</v>
      </c>
      <c r="K92">
        <v>60</v>
      </c>
      <c r="L92" t="s">
        <v>22</v>
      </c>
      <c r="N92" t="s">
        <v>408</v>
      </c>
      <c r="O92" t="s">
        <v>74</v>
      </c>
      <c r="P92">
        <v>23</v>
      </c>
      <c r="Q92" t="s">
        <v>408</v>
      </c>
      <c r="R92">
        <v>30</v>
      </c>
      <c r="S92" t="s">
        <v>22</v>
      </c>
    </row>
    <row r="93" spans="1:19" x14ac:dyDescent="0.25">
      <c r="A93" t="s">
        <v>65</v>
      </c>
      <c r="B93">
        <v>2</v>
      </c>
      <c r="C93" t="s">
        <v>235</v>
      </c>
      <c r="D93">
        <v>30</v>
      </c>
      <c r="E93" t="s">
        <v>22</v>
      </c>
      <c r="G93" t="s">
        <v>123</v>
      </c>
      <c r="H93" t="s">
        <v>50</v>
      </c>
      <c r="I93">
        <v>17</v>
      </c>
      <c r="J93" t="s">
        <v>123</v>
      </c>
      <c r="K93">
        <v>30</v>
      </c>
      <c r="L93" t="s">
        <v>22</v>
      </c>
      <c r="N93" t="s">
        <v>409</v>
      </c>
      <c r="O93" t="s">
        <v>74</v>
      </c>
      <c r="P93">
        <v>24</v>
      </c>
      <c r="Q93" t="s">
        <v>409</v>
      </c>
      <c r="R93">
        <v>30</v>
      </c>
      <c r="S93" t="s">
        <v>22</v>
      </c>
    </row>
    <row r="94" spans="1:19" x14ac:dyDescent="0.25">
      <c r="A94" t="s">
        <v>65</v>
      </c>
      <c r="B94">
        <v>3</v>
      </c>
      <c r="C94" t="s">
        <v>236</v>
      </c>
      <c r="D94">
        <v>30</v>
      </c>
      <c r="E94" t="s">
        <v>22</v>
      </c>
      <c r="G94" t="s">
        <v>124</v>
      </c>
      <c r="H94" t="s">
        <v>50</v>
      </c>
      <c r="I94">
        <v>18</v>
      </c>
      <c r="J94" t="s">
        <v>124</v>
      </c>
      <c r="K94">
        <v>60</v>
      </c>
      <c r="L94" t="s">
        <v>22</v>
      </c>
      <c r="N94" t="s">
        <v>410</v>
      </c>
      <c r="O94" t="s">
        <v>74</v>
      </c>
      <c r="P94">
        <v>25</v>
      </c>
      <c r="Q94" t="s">
        <v>410</v>
      </c>
      <c r="R94">
        <v>30</v>
      </c>
      <c r="S94" t="s">
        <v>22</v>
      </c>
    </row>
    <row r="95" spans="1:19" x14ac:dyDescent="0.25">
      <c r="A95" t="s">
        <v>65</v>
      </c>
      <c r="B95">
        <v>5</v>
      </c>
      <c r="C95" t="s">
        <v>237</v>
      </c>
      <c r="D95">
        <v>30</v>
      </c>
      <c r="E95" t="s">
        <v>22</v>
      </c>
      <c r="G95" t="s">
        <v>125</v>
      </c>
      <c r="H95" t="s">
        <v>50</v>
      </c>
      <c r="I95">
        <v>19</v>
      </c>
      <c r="J95" t="s">
        <v>125</v>
      </c>
      <c r="K95">
        <v>60</v>
      </c>
      <c r="L95" t="s">
        <v>22</v>
      </c>
      <c r="N95" t="s">
        <v>411</v>
      </c>
      <c r="O95" t="s">
        <v>74</v>
      </c>
      <c r="P95">
        <v>26</v>
      </c>
      <c r="Q95" t="s">
        <v>411</v>
      </c>
      <c r="R95">
        <v>30</v>
      </c>
      <c r="S95" t="s">
        <v>22</v>
      </c>
    </row>
    <row r="96" spans="1:19" x14ac:dyDescent="0.25">
      <c r="A96" t="s">
        <v>65</v>
      </c>
      <c r="B96">
        <v>9</v>
      </c>
      <c r="C96" t="s">
        <v>238</v>
      </c>
      <c r="D96">
        <v>30</v>
      </c>
      <c r="E96" t="s">
        <v>21</v>
      </c>
      <c r="G96" t="s">
        <v>126</v>
      </c>
      <c r="H96" t="s">
        <v>50</v>
      </c>
      <c r="I96">
        <v>20</v>
      </c>
      <c r="J96" t="s">
        <v>126</v>
      </c>
      <c r="K96">
        <v>60</v>
      </c>
      <c r="L96" t="s">
        <v>22</v>
      </c>
      <c r="N96" t="s">
        <v>412</v>
      </c>
      <c r="O96" t="s">
        <v>74</v>
      </c>
      <c r="P96">
        <v>27</v>
      </c>
      <c r="Q96" t="s">
        <v>412</v>
      </c>
      <c r="R96">
        <v>30</v>
      </c>
      <c r="S96" t="s">
        <v>22</v>
      </c>
    </row>
    <row r="97" spans="1:19" x14ac:dyDescent="0.25">
      <c r="A97" t="s">
        <v>65</v>
      </c>
      <c r="B97">
        <v>10</v>
      </c>
      <c r="C97" t="s">
        <v>239</v>
      </c>
      <c r="D97">
        <v>30</v>
      </c>
      <c r="E97" t="s">
        <v>22</v>
      </c>
      <c r="G97" t="s">
        <v>128</v>
      </c>
      <c r="H97" t="s">
        <v>50</v>
      </c>
      <c r="I97">
        <v>22</v>
      </c>
      <c r="J97" t="s">
        <v>128</v>
      </c>
      <c r="K97">
        <v>60</v>
      </c>
      <c r="L97" t="s">
        <v>22</v>
      </c>
      <c r="N97" t="s">
        <v>413</v>
      </c>
      <c r="O97" t="s">
        <v>74</v>
      </c>
      <c r="P97">
        <v>28</v>
      </c>
      <c r="Q97" t="s">
        <v>413</v>
      </c>
      <c r="R97">
        <v>30</v>
      </c>
      <c r="S97" t="s">
        <v>22</v>
      </c>
    </row>
    <row r="98" spans="1:19" x14ac:dyDescent="0.25">
      <c r="A98" t="s">
        <v>65</v>
      </c>
      <c r="B98">
        <v>21</v>
      </c>
      <c r="C98" t="s">
        <v>240</v>
      </c>
      <c r="D98">
        <v>60</v>
      </c>
      <c r="E98" t="s">
        <v>22</v>
      </c>
      <c r="G98" t="s">
        <v>129</v>
      </c>
      <c r="H98" t="s">
        <v>50</v>
      </c>
      <c r="I98">
        <v>24</v>
      </c>
      <c r="J98" t="s">
        <v>129</v>
      </c>
      <c r="K98">
        <v>60</v>
      </c>
      <c r="L98" t="s">
        <v>22</v>
      </c>
      <c r="N98" t="s">
        <v>414</v>
      </c>
      <c r="O98" t="s">
        <v>74</v>
      </c>
      <c r="P98">
        <v>29</v>
      </c>
      <c r="Q98" t="s">
        <v>414</v>
      </c>
      <c r="R98">
        <v>30</v>
      </c>
      <c r="S98" t="s">
        <v>22</v>
      </c>
    </row>
    <row r="99" spans="1:19" x14ac:dyDescent="0.25">
      <c r="A99" t="s">
        <v>66</v>
      </c>
      <c r="B99">
        <v>1</v>
      </c>
      <c r="C99" t="s">
        <v>234</v>
      </c>
      <c r="D99">
        <v>30</v>
      </c>
      <c r="E99" t="s">
        <v>21</v>
      </c>
      <c r="G99" t="s">
        <v>131</v>
      </c>
      <c r="H99" t="s">
        <v>50</v>
      </c>
      <c r="I99">
        <v>26</v>
      </c>
      <c r="J99" t="s">
        <v>131</v>
      </c>
      <c r="K99">
        <v>60</v>
      </c>
      <c r="L99" t="s">
        <v>22</v>
      </c>
      <c r="N99" t="s">
        <v>415</v>
      </c>
      <c r="O99" t="s">
        <v>74</v>
      </c>
      <c r="P99">
        <v>30</v>
      </c>
      <c r="Q99" t="s">
        <v>415</v>
      </c>
      <c r="R99">
        <v>60</v>
      </c>
      <c r="S99" t="s">
        <v>22</v>
      </c>
    </row>
    <row r="100" spans="1:19" x14ac:dyDescent="0.25">
      <c r="A100" t="s">
        <v>66</v>
      </c>
      <c r="B100">
        <v>2</v>
      </c>
      <c r="C100" t="s">
        <v>235</v>
      </c>
      <c r="D100">
        <v>30</v>
      </c>
      <c r="E100" t="s">
        <v>22</v>
      </c>
      <c r="G100" t="s">
        <v>132</v>
      </c>
      <c r="H100" t="s">
        <v>50</v>
      </c>
      <c r="I100">
        <v>27</v>
      </c>
      <c r="J100" t="s">
        <v>132</v>
      </c>
      <c r="K100">
        <v>60</v>
      </c>
      <c r="L100" t="s">
        <v>22</v>
      </c>
      <c r="N100" t="s">
        <v>416</v>
      </c>
      <c r="O100" t="s">
        <v>74</v>
      </c>
      <c r="P100">
        <v>32</v>
      </c>
      <c r="Q100" t="s">
        <v>416</v>
      </c>
      <c r="R100">
        <v>60</v>
      </c>
      <c r="S100" t="s">
        <v>22</v>
      </c>
    </row>
    <row r="101" spans="1:19" x14ac:dyDescent="0.25">
      <c r="A101" t="s">
        <v>66</v>
      </c>
      <c r="B101">
        <v>3</v>
      </c>
      <c r="C101" t="s">
        <v>236</v>
      </c>
      <c r="D101">
        <v>30</v>
      </c>
      <c r="E101" t="s">
        <v>22</v>
      </c>
      <c r="G101" t="s">
        <v>135</v>
      </c>
      <c r="H101" t="s">
        <v>50</v>
      </c>
      <c r="I101">
        <v>30</v>
      </c>
      <c r="J101" t="s">
        <v>135</v>
      </c>
      <c r="K101">
        <v>60</v>
      </c>
      <c r="L101" t="s">
        <v>22</v>
      </c>
      <c r="N101" t="s">
        <v>417</v>
      </c>
      <c r="O101" t="s">
        <v>74</v>
      </c>
      <c r="P101">
        <v>33</v>
      </c>
      <c r="Q101" t="s">
        <v>417</v>
      </c>
      <c r="R101">
        <v>60</v>
      </c>
      <c r="S101" t="s">
        <v>22</v>
      </c>
    </row>
    <row r="102" spans="1:19" x14ac:dyDescent="0.25">
      <c r="A102" t="s">
        <v>66</v>
      </c>
      <c r="B102">
        <v>4</v>
      </c>
      <c r="C102" t="s">
        <v>66</v>
      </c>
      <c r="D102">
        <v>30</v>
      </c>
      <c r="E102" t="s">
        <v>22</v>
      </c>
      <c r="G102" t="s">
        <v>142</v>
      </c>
      <c r="H102" t="s">
        <v>50</v>
      </c>
      <c r="I102">
        <v>37</v>
      </c>
      <c r="J102" t="s">
        <v>142</v>
      </c>
      <c r="K102">
        <v>30</v>
      </c>
      <c r="L102" t="s">
        <v>22</v>
      </c>
      <c r="N102" t="s">
        <v>418</v>
      </c>
      <c r="O102" t="s">
        <v>74</v>
      </c>
      <c r="P102">
        <v>34</v>
      </c>
      <c r="Q102" t="s">
        <v>418</v>
      </c>
      <c r="R102">
        <v>60</v>
      </c>
      <c r="S102" t="s">
        <v>22</v>
      </c>
    </row>
    <row r="103" spans="1:19" x14ac:dyDescent="0.25">
      <c r="A103" t="s">
        <v>66</v>
      </c>
      <c r="B103">
        <v>5</v>
      </c>
      <c r="C103" t="s">
        <v>237</v>
      </c>
      <c r="D103">
        <v>30</v>
      </c>
      <c r="E103" t="s">
        <v>22</v>
      </c>
      <c r="G103" t="s">
        <v>144</v>
      </c>
      <c r="H103" t="s">
        <v>50</v>
      </c>
      <c r="I103">
        <v>39</v>
      </c>
      <c r="J103" t="s">
        <v>144</v>
      </c>
      <c r="K103">
        <v>60</v>
      </c>
      <c r="L103" t="s">
        <v>22</v>
      </c>
      <c r="N103" t="s">
        <v>419</v>
      </c>
      <c r="O103" t="s">
        <v>74</v>
      </c>
      <c r="P103">
        <v>35</v>
      </c>
      <c r="Q103" t="s">
        <v>419</v>
      </c>
      <c r="R103">
        <v>60</v>
      </c>
      <c r="S103" t="s">
        <v>22</v>
      </c>
    </row>
    <row r="104" spans="1:19" x14ac:dyDescent="0.25">
      <c r="A104" t="s">
        <v>66</v>
      </c>
      <c r="B104">
        <v>9</v>
      </c>
      <c r="C104" t="s">
        <v>238</v>
      </c>
      <c r="D104">
        <v>30</v>
      </c>
      <c r="E104" t="s">
        <v>21</v>
      </c>
      <c r="G104" t="s">
        <v>115</v>
      </c>
      <c r="H104" t="s">
        <v>51</v>
      </c>
      <c r="I104">
        <v>8</v>
      </c>
      <c r="J104" t="s">
        <v>115</v>
      </c>
      <c r="K104">
        <v>30</v>
      </c>
      <c r="L104" t="s">
        <v>22</v>
      </c>
      <c r="N104" t="s">
        <v>420</v>
      </c>
      <c r="O104" t="s">
        <v>74</v>
      </c>
      <c r="P104">
        <v>36</v>
      </c>
      <c r="Q104" t="s">
        <v>420</v>
      </c>
      <c r="R104">
        <v>60</v>
      </c>
      <c r="S104" t="s">
        <v>22</v>
      </c>
    </row>
    <row r="105" spans="1:19" x14ac:dyDescent="0.25">
      <c r="A105" t="s">
        <v>66</v>
      </c>
      <c r="B105">
        <v>10</v>
      </c>
      <c r="C105" t="s">
        <v>239</v>
      </c>
      <c r="D105">
        <v>30</v>
      </c>
      <c r="E105" t="s">
        <v>22</v>
      </c>
      <c r="G105" t="s">
        <v>121</v>
      </c>
      <c r="H105" t="s">
        <v>51</v>
      </c>
      <c r="I105">
        <v>14</v>
      </c>
      <c r="J105" t="s">
        <v>121</v>
      </c>
      <c r="K105">
        <v>60</v>
      </c>
      <c r="L105" t="s">
        <v>22</v>
      </c>
      <c r="N105" t="s">
        <v>421</v>
      </c>
      <c r="O105" t="s">
        <v>74</v>
      </c>
      <c r="P105">
        <v>38</v>
      </c>
      <c r="Q105" t="s">
        <v>421</v>
      </c>
      <c r="R105">
        <v>30</v>
      </c>
      <c r="S105" t="s">
        <v>22</v>
      </c>
    </row>
    <row r="106" spans="1:19" x14ac:dyDescent="0.25">
      <c r="A106" t="s">
        <v>66</v>
      </c>
      <c r="B106">
        <v>21</v>
      </c>
      <c r="C106" t="s">
        <v>240</v>
      </c>
      <c r="D106">
        <v>60</v>
      </c>
      <c r="E106" t="s">
        <v>22</v>
      </c>
      <c r="G106" t="s">
        <v>123</v>
      </c>
      <c r="H106" t="s">
        <v>51</v>
      </c>
      <c r="I106">
        <v>17</v>
      </c>
      <c r="J106" t="s">
        <v>123</v>
      </c>
      <c r="K106">
        <v>30</v>
      </c>
      <c r="L106" t="s">
        <v>22</v>
      </c>
      <c r="N106" t="s">
        <v>422</v>
      </c>
      <c r="O106" t="s">
        <v>74</v>
      </c>
      <c r="P106">
        <v>39</v>
      </c>
      <c r="Q106" t="s">
        <v>422</v>
      </c>
      <c r="R106">
        <v>30</v>
      </c>
      <c r="S106" t="s">
        <v>22</v>
      </c>
    </row>
    <row r="107" spans="1:19" x14ac:dyDescent="0.25">
      <c r="A107" t="s">
        <v>67</v>
      </c>
      <c r="B107">
        <v>1</v>
      </c>
      <c r="C107" t="s">
        <v>234</v>
      </c>
      <c r="D107">
        <v>30</v>
      </c>
      <c r="E107" t="s">
        <v>21</v>
      </c>
      <c r="G107" t="s">
        <v>125</v>
      </c>
      <c r="H107" t="s">
        <v>51</v>
      </c>
      <c r="I107">
        <v>19</v>
      </c>
      <c r="J107" t="s">
        <v>125</v>
      </c>
      <c r="K107">
        <v>60</v>
      </c>
      <c r="L107" t="s">
        <v>22</v>
      </c>
      <c r="N107" t="s">
        <v>423</v>
      </c>
      <c r="O107" t="s">
        <v>74</v>
      </c>
      <c r="P107">
        <v>40</v>
      </c>
      <c r="Q107" t="s">
        <v>423</v>
      </c>
      <c r="R107">
        <v>60</v>
      </c>
      <c r="S107" t="s">
        <v>22</v>
      </c>
    </row>
    <row r="108" spans="1:19" x14ac:dyDescent="0.25">
      <c r="A108" t="s">
        <v>67</v>
      </c>
      <c r="B108">
        <v>2</v>
      </c>
      <c r="C108" t="s">
        <v>235</v>
      </c>
      <c r="D108">
        <v>30</v>
      </c>
      <c r="E108" t="s">
        <v>22</v>
      </c>
      <c r="G108" t="s">
        <v>127</v>
      </c>
      <c r="H108" t="s">
        <v>51</v>
      </c>
      <c r="I108">
        <v>21</v>
      </c>
      <c r="J108" t="s">
        <v>127</v>
      </c>
      <c r="K108">
        <v>60</v>
      </c>
      <c r="L108" t="s">
        <v>22</v>
      </c>
      <c r="N108" t="s">
        <v>401</v>
      </c>
      <c r="O108" t="s">
        <v>75</v>
      </c>
      <c r="P108">
        <v>16</v>
      </c>
      <c r="Q108" t="s">
        <v>401</v>
      </c>
      <c r="R108">
        <v>30</v>
      </c>
      <c r="S108" t="s">
        <v>22</v>
      </c>
    </row>
    <row r="109" spans="1:19" x14ac:dyDescent="0.25">
      <c r="A109" t="s">
        <v>67</v>
      </c>
      <c r="B109">
        <v>3</v>
      </c>
      <c r="C109" t="s">
        <v>236</v>
      </c>
      <c r="D109">
        <v>30</v>
      </c>
      <c r="E109" t="s">
        <v>22</v>
      </c>
      <c r="G109" t="s">
        <v>131</v>
      </c>
      <c r="H109" t="s">
        <v>51</v>
      </c>
      <c r="I109">
        <v>26</v>
      </c>
      <c r="J109" t="s">
        <v>131</v>
      </c>
      <c r="K109">
        <v>60</v>
      </c>
      <c r="L109" t="s">
        <v>22</v>
      </c>
      <c r="N109" t="s">
        <v>402</v>
      </c>
      <c r="O109" t="s">
        <v>75</v>
      </c>
      <c r="P109">
        <v>17</v>
      </c>
      <c r="Q109" t="s">
        <v>402</v>
      </c>
      <c r="R109">
        <v>30</v>
      </c>
      <c r="S109" t="s">
        <v>22</v>
      </c>
    </row>
    <row r="110" spans="1:19" x14ac:dyDescent="0.25">
      <c r="A110" t="s">
        <v>67</v>
      </c>
      <c r="B110">
        <v>5</v>
      </c>
      <c r="C110" t="s">
        <v>237</v>
      </c>
      <c r="D110">
        <v>30</v>
      </c>
      <c r="E110" t="s">
        <v>22</v>
      </c>
      <c r="G110" t="s">
        <v>133</v>
      </c>
      <c r="H110" t="s">
        <v>51</v>
      </c>
      <c r="I110">
        <v>28</v>
      </c>
      <c r="J110" t="s">
        <v>133</v>
      </c>
      <c r="K110">
        <v>60</v>
      </c>
      <c r="L110" t="s">
        <v>22</v>
      </c>
      <c r="N110" t="s">
        <v>403</v>
      </c>
      <c r="O110" t="s">
        <v>75</v>
      </c>
      <c r="P110">
        <v>18</v>
      </c>
      <c r="Q110" t="s">
        <v>403</v>
      </c>
      <c r="R110">
        <v>30</v>
      </c>
      <c r="S110" t="s">
        <v>22</v>
      </c>
    </row>
    <row r="111" spans="1:19" x14ac:dyDescent="0.25">
      <c r="A111" t="s">
        <v>67</v>
      </c>
      <c r="B111">
        <v>9</v>
      </c>
      <c r="C111" t="s">
        <v>238</v>
      </c>
      <c r="D111">
        <v>30</v>
      </c>
      <c r="E111" t="s">
        <v>21</v>
      </c>
      <c r="G111" t="s">
        <v>134</v>
      </c>
      <c r="H111" t="s">
        <v>51</v>
      </c>
      <c r="I111">
        <v>29</v>
      </c>
      <c r="J111" t="s">
        <v>134</v>
      </c>
      <c r="K111">
        <v>60</v>
      </c>
      <c r="L111" t="s">
        <v>22</v>
      </c>
      <c r="N111" t="s">
        <v>404</v>
      </c>
      <c r="O111" t="s">
        <v>75</v>
      </c>
      <c r="P111">
        <v>19</v>
      </c>
      <c r="Q111" t="s">
        <v>404</v>
      </c>
      <c r="R111">
        <v>30</v>
      </c>
      <c r="S111" t="s">
        <v>22</v>
      </c>
    </row>
    <row r="112" spans="1:19" x14ac:dyDescent="0.25">
      <c r="A112" t="s">
        <v>67</v>
      </c>
      <c r="B112">
        <v>10</v>
      </c>
      <c r="C112" t="s">
        <v>239</v>
      </c>
      <c r="D112">
        <v>30</v>
      </c>
      <c r="E112" t="s">
        <v>22</v>
      </c>
      <c r="G112" t="s">
        <v>135</v>
      </c>
      <c r="H112" t="s">
        <v>51</v>
      </c>
      <c r="I112">
        <v>30</v>
      </c>
      <c r="J112" t="s">
        <v>135</v>
      </c>
      <c r="K112">
        <v>60</v>
      </c>
      <c r="L112" t="s">
        <v>22</v>
      </c>
      <c r="N112" t="s">
        <v>405</v>
      </c>
      <c r="O112" t="s">
        <v>75</v>
      </c>
      <c r="P112">
        <v>20</v>
      </c>
      <c r="Q112" t="s">
        <v>405</v>
      </c>
      <c r="R112">
        <v>30</v>
      </c>
      <c r="S112" t="s">
        <v>22</v>
      </c>
    </row>
    <row r="113" spans="1:19" x14ac:dyDescent="0.25">
      <c r="A113" t="s">
        <v>67</v>
      </c>
      <c r="B113">
        <v>21</v>
      </c>
      <c r="C113" t="s">
        <v>240</v>
      </c>
      <c r="D113">
        <v>60</v>
      </c>
      <c r="E113" t="s">
        <v>22</v>
      </c>
      <c r="G113" t="s">
        <v>141</v>
      </c>
      <c r="H113" t="s">
        <v>51</v>
      </c>
      <c r="I113">
        <v>36</v>
      </c>
      <c r="J113" t="s">
        <v>141</v>
      </c>
      <c r="K113">
        <v>60</v>
      </c>
      <c r="L113" t="s">
        <v>22</v>
      </c>
      <c r="N113" t="s">
        <v>406</v>
      </c>
      <c r="O113" t="s">
        <v>75</v>
      </c>
      <c r="P113">
        <v>21</v>
      </c>
      <c r="Q113" t="s">
        <v>406</v>
      </c>
      <c r="R113">
        <v>30</v>
      </c>
      <c r="S113" t="s">
        <v>22</v>
      </c>
    </row>
    <row r="114" spans="1:19" x14ac:dyDescent="0.25">
      <c r="A114" t="s">
        <v>68</v>
      </c>
      <c r="B114">
        <v>1</v>
      </c>
      <c r="C114" t="s">
        <v>234</v>
      </c>
      <c r="D114">
        <v>30</v>
      </c>
      <c r="E114" t="s">
        <v>21</v>
      </c>
      <c r="G114" t="s">
        <v>142</v>
      </c>
      <c r="H114" t="s">
        <v>51</v>
      </c>
      <c r="I114">
        <v>37</v>
      </c>
      <c r="J114" t="s">
        <v>142</v>
      </c>
      <c r="K114">
        <v>30</v>
      </c>
      <c r="L114" t="s">
        <v>22</v>
      </c>
      <c r="N114" t="s">
        <v>407</v>
      </c>
      <c r="O114" t="s">
        <v>75</v>
      </c>
      <c r="P114">
        <v>22</v>
      </c>
      <c r="Q114" t="s">
        <v>407</v>
      </c>
      <c r="R114">
        <v>30</v>
      </c>
      <c r="S114" t="s">
        <v>22</v>
      </c>
    </row>
    <row r="115" spans="1:19" x14ac:dyDescent="0.25">
      <c r="A115" t="s">
        <v>68</v>
      </c>
      <c r="B115">
        <v>2</v>
      </c>
      <c r="C115" t="s">
        <v>235</v>
      </c>
      <c r="D115">
        <v>30</v>
      </c>
      <c r="E115" t="s">
        <v>22</v>
      </c>
      <c r="G115" t="s">
        <v>144</v>
      </c>
      <c r="H115" t="s">
        <v>51</v>
      </c>
      <c r="I115">
        <v>39</v>
      </c>
      <c r="J115" t="s">
        <v>144</v>
      </c>
      <c r="K115">
        <v>60</v>
      </c>
      <c r="L115" t="s">
        <v>22</v>
      </c>
      <c r="N115" t="s">
        <v>408</v>
      </c>
      <c r="O115" t="s">
        <v>75</v>
      </c>
      <c r="P115">
        <v>23</v>
      </c>
      <c r="Q115" t="s">
        <v>408</v>
      </c>
      <c r="R115">
        <v>30</v>
      </c>
      <c r="S115" t="s">
        <v>22</v>
      </c>
    </row>
    <row r="116" spans="1:19" x14ac:dyDescent="0.25">
      <c r="A116" t="s">
        <v>68</v>
      </c>
      <c r="B116">
        <v>3</v>
      </c>
      <c r="C116" t="s">
        <v>236</v>
      </c>
      <c r="D116">
        <v>30</v>
      </c>
      <c r="E116" t="s">
        <v>22</v>
      </c>
      <c r="G116" t="s">
        <v>145</v>
      </c>
      <c r="H116" t="s">
        <v>51</v>
      </c>
      <c r="I116">
        <v>40</v>
      </c>
      <c r="J116" t="s">
        <v>145</v>
      </c>
      <c r="K116">
        <v>60</v>
      </c>
      <c r="L116" t="s">
        <v>22</v>
      </c>
      <c r="N116" t="s">
        <v>409</v>
      </c>
      <c r="O116" t="s">
        <v>75</v>
      </c>
      <c r="P116">
        <v>24</v>
      </c>
      <c r="Q116" t="s">
        <v>409</v>
      </c>
      <c r="R116">
        <v>30</v>
      </c>
      <c r="S116" t="s">
        <v>22</v>
      </c>
    </row>
    <row r="117" spans="1:19" x14ac:dyDescent="0.25">
      <c r="A117" t="s">
        <v>68</v>
      </c>
      <c r="B117">
        <v>5</v>
      </c>
      <c r="C117" t="s">
        <v>237</v>
      </c>
      <c r="D117">
        <v>30</v>
      </c>
      <c r="E117" t="s">
        <v>22</v>
      </c>
      <c r="G117" t="s">
        <v>114</v>
      </c>
      <c r="H117" t="s">
        <v>52</v>
      </c>
      <c r="I117">
        <v>4</v>
      </c>
      <c r="J117" t="s">
        <v>114</v>
      </c>
      <c r="K117">
        <v>30</v>
      </c>
      <c r="L117" t="s">
        <v>22</v>
      </c>
      <c r="N117" t="s">
        <v>410</v>
      </c>
      <c r="O117" t="s">
        <v>75</v>
      </c>
      <c r="P117">
        <v>25</v>
      </c>
      <c r="Q117" t="s">
        <v>410</v>
      </c>
      <c r="R117">
        <v>30</v>
      </c>
      <c r="S117" t="s">
        <v>22</v>
      </c>
    </row>
    <row r="118" spans="1:19" x14ac:dyDescent="0.25">
      <c r="A118" t="s">
        <v>68</v>
      </c>
      <c r="B118">
        <v>9</v>
      </c>
      <c r="C118" t="s">
        <v>238</v>
      </c>
      <c r="D118">
        <v>30</v>
      </c>
      <c r="E118" t="s">
        <v>21</v>
      </c>
      <c r="G118" t="s">
        <v>115</v>
      </c>
      <c r="H118" t="s">
        <v>52</v>
      </c>
      <c r="I118">
        <v>8</v>
      </c>
      <c r="J118" t="s">
        <v>115</v>
      </c>
      <c r="K118">
        <v>30</v>
      </c>
      <c r="L118" t="s">
        <v>22</v>
      </c>
      <c r="N118" t="s">
        <v>413</v>
      </c>
      <c r="O118" t="s">
        <v>75</v>
      </c>
      <c r="P118">
        <v>28</v>
      </c>
      <c r="Q118" t="s">
        <v>413</v>
      </c>
      <c r="R118">
        <v>30</v>
      </c>
      <c r="S118" t="s">
        <v>22</v>
      </c>
    </row>
    <row r="119" spans="1:19" x14ac:dyDescent="0.25">
      <c r="A119" t="s">
        <v>68</v>
      </c>
      <c r="B119">
        <v>10</v>
      </c>
      <c r="C119" t="s">
        <v>239</v>
      </c>
      <c r="D119">
        <v>30</v>
      </c>
      <c r="E119" t="s">
        <v>22</v>
      </c>
      <c r="G119" t="s">
        <v>117</v>
      </c>
      <c r="H119" t="s">
        <v>52</v>
      </c>
      <c r="I119">
        <v>10</v>
      </c>
      <c r="J119" t="s">
        <v>117</v>
      </c>
      <c r="K119">
        <v>60</v>
      </c>
      <c r="L119" t="s">
        <v>22</v>
      </c>
      <c r="N119" t="s">
        <v>414</v>
      </c>
      <c r="O119" t="s">
        <v>75</v>
      </c>
      <c r="P119">
        <v>29</v>
      </c>
      <c r="Q119" t="s">
        <v>414</v>
      </c>
      <c r="R119">
        <v>30</v>
      </c>
      <c r="S119" t="s">
        <v>22</v>
      </c>
    </row>
    <row r="120" spans="1:19" x14ac:dyDescent="0.25">
      <c r="A120" t="s">
        <v>68</v>
      </c>
      <c r="B120">
        <v>21</v>
      </c>
      <c r="C120" t="s">
        <v>240</v>
      </c>
      <c r="D120">
        <v>60</v>
      </c>
      <c r="E120" t="s">
        <v>22</v>
      </c>
      <c r="G120" t="s">
        <v>121</v>
      </c>
      <c r="H120" t="s">
        <v>52</v>
      </c>
      <c r="I120">
        <v>14</v>
      </c>
      <c r="J120" t="s">
        <v>121</v>
      </c>
      <c r="K120">
        <v>60</v>
      </c>
      <c r="L120" t="s">
        <v>22</v>
      </c>
      <c r="N120" t="s">
        <v>421</v>
      </c>
      <c r="O120" t="s">
        <v>75</v>
      </c>
      <c r="P120">
        <v>38</v>
      </c>
      <c r="Q120" t="s">
        <v>421</v>
      </c>
      <c r="R120">
        <v>30</v>
      </c>
      <c r="S120" t="s">
        <v>22</v>
      </c>
    </row>
    <row r="121" spans="1:19" x14ac:dyDescent="0.25">
      <c r="A121" t="s">
        <v>64</v>
      </c>
      <c r="B121">
        <v>1</v>
      </c>
      <c r="C121" t="s">
        <v>279</v>
      </c>
      <c r="D121">
        <v>30</v>
      </c>
      <c r="E121" t="s">
        <v>21</v>
      </c>
      <c r="G121" t="s">
        <v>122</v>
      </c>
      <c r="H121" t="s">
        <v>52</v>
      </c>
      <c r="I121">
        <v>15</v>
      </c>
      <c r="J121" t="s">
        <v>122</v>
      </c>
      <c r="K121">
        <v>60</v>
      </c>
      <c r="L121" t="s">
        <v>22</v>
      </c>
      <c r="N121" t="s">
        <v>422</v>
      </c>
      <c r="O121" t="s">
        <v>75</v>
      </c>
      <c r="P121">
        <v>39</v>
      </c>
      <c r="Q121" t="s">
        <v>422</v>
      </c>
      <c r="R121">
        <v>30</v>
      </c>
      <c r="S121" t="s">
        <v>22</v>
      </c>
    </row>
    <row r="122" spans="1:19" x14ac:dyDescent="0.25">
      <c r="A122" t="s">
        <v>64</v>
      </c>
      <c r="B122">
        <v>2</v>
      </c>
      <c r="C122" t="s">
        <v>280</v>
      </c>
      <c r="D122">
        <v>30</v>
      </c>
      <c r="E122" t="s">
        <v>22</v>
      </c>
      <c r="G122" t="s">
        <v>123</v>
      </c>
      <c r="H122" t="s">
        <v>52</v>
      </c>
      <c r="I122">
        <v>17</v>
      </c>
      <c r="J122" t="s">
        <v>123</v>
      </c>
      <c r="K122">
        <v>30</v>
      </c>
      <c r="L122" t="s">
        <v>22</v>
      </c>
      <c r="N122" t="s">
        <v>399</v>
      </c>
      <c r="O122" t="s">
        <v>76</v>
      </c>
      <c r="P122">
        <v>14</v>
      </c>
      <c r="Q122" t="s">
        <v>399</v>
      </c>
      <c r="R122">
        <v>30</v>
      </c>
      <c r="S122" t="s">
        <v>22</v>
      </c>
    </row>
    <row r="123" spans="1:19" x14ac:dyDescent="0.25">
      <c r="A123" t="s">
        <v>64</v>
      </c>
      <c r="B123">
        <v>3</v>
      </c>
      <c r="C123" t="s">
        <v>281</v>
      </c>
      <c r="D123">
        <v>30</v>
      </c>
      <c r="E123" t="s">
        <v>22</v>
      </c>
      <c r="G123" t="s">
        <v>125</v>
      </c>
      <c r="H123" t="s">
        <v>52</v>
      </c>
      <c r="I123">
        <v>19</v>
      </c>
      <c r="J123" t="s">
        <v>125</v>
      </c>
      <c r="K123">
        <v>60</v>
      </c>
      <c r="L123" t="s">
        <v>22</v>
      </c>
      <c r="N123" t="s">
        <v>400</v>
      </c>
      <c r="O123" t="s">
        <v>76</v>
      </c>
      <c r="P123">
        <v>15</v>
      </c>
      <c r="Q123" t="s">
        <v>400</v>
      </c>
      <c r="R123">
        <v>30</v>
      </c>
      <c r="S123" t="s">
        <v>22</v>
      </c>
    </row>
    <row r="124" spans="1:19" x14ac:dyDescent="0.25">
      <c r="A124" t="s">
        <v>64</v>
      </c>
      <c r="B124">
        <v>7</v>
      </c>
      <c r="C124" t="s">
        <v>282</v>
      </c>
      <c r="D124">
        <v>30</v>
      </c>
      <c r="E124" t="s">
        <v>22</v>
      </c>
      <c r="G124" t="s">
        <v>126</v>
      </c>
      <c r="H124" t="s">
        <v>52</v>
      </c>
      <c r="I124">
        <v>20</v>
      </c>
      <c r="J124" t="s">
        <v>126</v>
      </c>
      <c r="K124">
        <v>60</v>
      </c>
      <c r="L124" t="s">
        <v>22</v>
      </c>
      <c r="N124" t="s">
        <v>404</v>
      </c>
      <c r="O124" t="s">
        <v>76</v>
      </c>
      <c r="P124">
        <v>19</v>
      </c>
      <c r="Q124" t="s">
        <v>404</v>
      </c>
      <c r="R124">
        <v>30</v>
      </c>
      <c r="S124" t="s">
        <v>22</v>
      </c>
    </row>
    <row r="125" spans="1:19" x14ac:dyDescent="0.25">
      <c r="A125" t="s">
        <v>64</v>
      </c>
      <c r="B125">
        <v>8</v>
      </c>
      <c r="C125" t="s">
        <v>283</v>
      </c>
      <c r="D125">
        <v>30</v>
      </c>
      <c r="E125" t="s">
        <v>22</v>
      </c>
      <c r="G125" t="s">
        <v>131</v>
      </c>
      <c r="H125" t="s">
        <v>52</v>
      </c>
      <c r="I125">
        <v>26</v>
      </c>
      <c r="J125" t="s">
        <v>131</v>
      </c>
      <c r="K125">
        <v>60</v>
      </c>
      <c r="L125" t="s">
        <v>22</v>
      </c>
      <c r="N125" t="s">
        <v>405</v>
      </c>
      <c r="O125" t="s">
        <v>76</v>
      </c>
      <c r="P125">
        <v>20</v>
      </c>
      <c r="Q125" t="s">
        <v>405</v>
      </c>
      <c r="R125">
        <v>30</v>
      </c>
      <c r="S125" t="s">
        <v>22</v>
      </c>
    </row>
    <row r="126" spans="1:19" x14ac:dyDescent="0.25">
      <c r="A126" t="s">
        <v>64</v>
      </c>
      <c r="B126">
        <v>9</v>
      </c>
      <c r="C126" t="s">
        <v>284</v>
      </c>
      <c r="D126">
        <v>30</v>
      </c>
      <c r="E126" t="s">
        <v>21</v>
      </c>
      <c r="G126" t="s">
        <v>132</v>
      </c>
      <c r="H126" t="s">
        <v>52</v>
      </c>
      <c r="I126">
        <v>27</v>
      </c>
      <c r="J126" t="s">
        <v>132</v>
      </c>
      <c r="K126">
        <v>60</v>
      </c>
      <c r="L126" t="s">
        <v>22</v>
      </c>
      <c r="N126" t="s">
        <v>406</v>
      </c>
      <c r="O126" t="s">
        <v>76</v>
      </c>
      <c r="P126">
        <v>21</v>
      </c>
      <c r="Q126" t="s">
        <v>406</v>
      </c>
      <c r="R126">
        <v>30</v>
      </c>
      <c r="S126" t="s">
        <v>22</v>
      </c>
    </row>
    <row r="127" spans="1:19" x14ac:dyDescent="0.25">
      <c r="A127" t="s">
        <v>64</v>
      </c>
      <c r="B127">
        <v>15</v>
      </c>
      <c r="C127" t="s">
        <v>285</v>
      </c>
      <c r="D127">
        <v>60</v>
      </c>
      <c r="E127" t="s">
        <v>22</v>
      </c>
      <c r="G127" t="s">
        <v>138</v>
      </c>
      <c r="H127" t="s">
        <v>52</v>
      </c>
      <c r="I127">
        <v>33</v>
      </c>
      <c r="J127" t="s">
        <v>138</v>
      </c>
      <c r="K127">
        <v>60</v>
      </c>
      <c r="L127" t="s">
        <v>22</v>
      </c>
      <c r="N127" t="s">
        <v>407</v>
      </c>
      <c r="O127" t="s">
        <v>76</v>
      </c>
      <c r="P127">
        <v>22</v>
      </c>
      <c r="Q127" t="s">
        <v>407</v>
      </c>
      <c r="R127">
        <v>30</v>
      </c>
      <c r="S127" t="s">
        <v>22</v>
      </c>
    </row>
    <row r="128" spans="1:19" x14ac:dyDescent="0.25">
      <c r="A128" t="s">
        <v>69</v>
      </c>
      <c r="B128">
        <v>1</v>
      </c>
      <c r="C128" t="s">
        <v>304</v>
      </c>
      <c r="D128">
        <v>30</v>
      </c>
      <c r="E128" t="s">
        <v>21</v>
      </c>
      <c r="G128" t="s">
        <v>139</v>
      </c>
      <c r="H128" t="s">
        <v>52</v>
      </c>
      <c r="I128">
        <v>34</v>
      </c>
      <c r="J128" t="s">
        <v>139</v>
      </c>
      <c r="K128">
        <v>60</v>
      </c>
      <c r="L128" t="s">
        <v>22</v>
      </c>
      <c r="N128" t="s">
        <v>408</v>
      </c>
      <c r="O128" t="s">
        <v>76</v>
      </c>
      <c r="P128">
        <v>23</v>
      </c>
      <c r="Q128" t="s">
        <v>408</v>
      </c>
      <c r="R128">
        <v>30</v>
      </c>
      <c r="S128" t="s">
        <v>22</v>
      </c>
    </row>
    <row r="129" spans="1:19" x14ac:dyDescent="0.25">
      <c r="A129" t="s">
        <v>69</v>
      </c>
      <c r="B129">
        <v>2</v>
      </c>
      <c r="C129" t="s">
        <v>305</v>
      </c>
      <c r="D129">
        <v>30</v>
      </c>
      <c r="E129" t="s">
        <v>22</v>
      </c>
      <c r="G129" t="s">
        <v>142</v>
      </c>
      <c r="H129" t="s">
        <v>52</v>
      </c>
      <c r="I129">
        <v>37</v>
      </c>
      <c r="J129" t="s">
        <v>142</v>
      </c>
      <c r="K129">
        <v>30</v>
      </c>
      <c r="L129" t="s">
        <v>22</v>
      </c>
      <c r="N129" t="s">
        <v>409</v>
      </c>
      <c r="O129" t="s">
        <v>76</v>
      </c>
      <c r="P129">
        <v>24</v>
      </c>
      <c r="Q129" t="s">
        <v>409</v>
      </c>
      <c r="R129">
        <v>30</v>
      </c>
      <c r="S129" t="s">
        <v>22</v>
      </c>
    </row>
    <row r="130" spans="1:19" x14ac:dyDescent="0.25">
      <c r="A130" t="s">
        <v>69</v>
      </c>
      <c r="B130">
        <v>3</v>
      </c>
      <c r="C130" t="s">
        <v>306</v>
      </c>
      <c r="D130">
        <v>30</v>
      </c>
      <c r="E130" t="s">
        <v>22</v>
      </c>
      <c r="G130" t="s">
        <v>143</v>
      </c>
      <c r="H130" t="s">
        <v>52</v>
      </c>
      <c r="I130">
        <v>38</v>
      </c>
      <c r="J130" t="s">
        <v>143</v>
      </c>
      <c r="K130">
        <v>60</v>
      </c>
      <c r="L130" t="s">
        <v>22</v>
      </c>
      <c r="N130" t="s">
        <v>410</v>
      </c>
      <c r="O130" t="s">
        <v>76</v>
      </c>
      <c r="P130">
        <v>25</v>
      </c>
      <c r="Q130" t="s">
        <v>410</v>
      </c>
      <c r="R130">
        <v>30</v>
      </c>
      <c r="S130" t="s">
        <v>22</v>
      </c>
    </row>
    <row r="131" spans="1:19" x14ac:dyDescent="0.25">
      <c r="A131" t="s">
        <v>69</v>
      </c>
      <c r="B131">
        <v>9</v>
      </c>
      <c r="C131" t="s">
        <v>307</v>
      </c>
      <c r="D131">
        <v>30</v>
      </c>
      <c r="E131" t="s">
        <v>21</v>
      </c>
      <c r="G131" t="s">
        <v>144</v>
      </c>
      <c r="H131" t="s">
        <v>52</v>
      </c>
      <c r="I131">
        <v>39</v>
      </c>
      <c r="J131" t="s">
        <v>144</v>
      </c>
      <c r="K131">
        <v>60</v>
      </c>
      <c r="L131" t="s">
        <v>22</v>
      </c>
      <c r="N131" t="s">
        <v>413</v>
      </c>
      <c r="O131" t="s">
        <v>76</v>
      </c>
      <c r="P131">
        <v>28</v>
      </c>
      <c r="Q131" t="s">
        <v>413</v>
      </c>
      <c r="R131">
        <v>30</v>
      </c>
      <c r="S131" t="s">
        <v>22</v>
      </c>
    </row>
    <row r="132" spans="1:19" x14ac:dyDescent="0.25">
      <c r="A132" t="s">
        <v>69</v>
      </c>
      <c r="B132">
        <v>14</v>
      </c>
      <c r="C132" t="s">
        <v>308</v>
      </c>
      <c r="D132">
        <v>60</v>
      </c>
      <c r="E132" t="s">
        <v>22</v>
      </c>
      <c r="G132" t="s">
        <v>158</v>
      </c>
      <c r="H132" t="s">
        <v>53</v>
      </c>
      <c r="I132">
        <v>4</v>
      </c>
      <c r="J132" t="s">
        <v>158</v>
      </c>
      <c r="K132">
        <v>30</v>
      </c>
      <c r="L132" t="s">
        <v>22</v>
      </c>
      <c r="N132" t="s">
        <v>414</v>
      </c>
      <c r="O132" t="s">
        <v>76</v>
      </c>
      <c r="P132">
        <v>29</v>
      </c>
      <c r="Q132" t="s">
        <v>414</v>
      </c>
      <c r="R132">
        <v>30</v>
      </c>
      <c r="S132" t="s">
        <v>22</v>
      </c>
    </row>
    <row r="133" spans="1:19" x14ac:dyDescent="0.25">
      <c r="A133" t="s">
        <v>69</v>
      </c>
      <c r="B133">
        <v>18</v>
      </c>
      <c r="C133" t="s">
        <v>309</v>
      </c>
      <c r="D133">
        <v>30</v>
      </c>
      <c r="E133" t="s">
        <v>22</v>
      </c>
      <c r="G133" t="s">
        <v>159</v>
      </c>
      <c r="H133" t="s">
        <v>53</v>
      </c>
      <c r="I133">
        <v>5</v>
      </c>
      <c r="J133" t="s">
        <v>159</v>
      </c>
      <c r="K133">
        <v>30</v>
      </c>
      <c r="L133" t="s">
        <v>22</v>
      </c>
      <c r="N133" t="s">
        <v>421</v>
      </c>
      <c r="O133" t="s">
        <v>76</v>
      </c>
      <c r="P133">
        <v>38</v>
      </c>
      <c r="Q133" t="s">
        <v>421</v>
      </c>
      <c r="R133">
        <v>30</v>
      </c>
      <c r="S133" t="s">
        <v>22</v>
      </c>
    </row>
    <row r="134" spans="1:19" x14ac:dyDescent="0.25">
      <c r="A134" t="s">
        <v>70</v>
      </c>
      <c r="B134">
        <v>1</v>
      </c>
      <c r="C134" t="s">
        <v>327</v>
      </c>
      <c r="D134">
        <v>30</v>
      </c>
      <c r="E134" t="s">
        <v>21</v>
      </c>
      <c r="G134" t="s">
        <v>160</v>
      </c>
      <c r="H134" t="s">
        <v>53</v>
      </c>
      <c r="I134">
        <v>6</v>
      </c>
      <c r="J134" t="s">
        <v>160</v>
      </c>
      <c r="K134">
        <v>30</v>
      </c>
      <c r="L134" t="s">
        <v>22</v>
      </c>
      <c r="N134" t="s">
        <v>422</v>
      </c>
      <c r="O134" t="s">
        <v>76</v>
      </c>
      <c r="P134">
        <v>39</v>
      </c>
      <c r="Q134" t="s">
        <v>422</v>
      </c>
      <c r="R134">
        <v>30</v>
      </c>
      <c r="S134" t="s">
        <v>22</v>
      </c>
    </row>
    <row r="135" spans="1:19" x14ac:dyDescent="0.25">
      <c r="A135" t="s">
        <v>70</v>
      </c>
      <c r="B135">
        <v>2</v>
      </c>
      <c r="C135" t="s">
        <v>328</v>
      </c>
      <c r="D135">
        <v>30</v>
      </c>
      <c r="E135" t="s">
        <v>21</v>
      </c>
      <c r="G135" t="s">
        <v>161</v>
      </c>
      <c r="H135" t="s">
        <v>53</v>
      </c>
      <c r="I135">
        <v>7</v>
      </c>
      <c r="J135" t="s">
        <v>161</v>
      </c>
      <c r="K135">
        <v>30</v>
      </c>
      <c r="L135" t="s">
        <v>22</v>
      </c>
      <c r="N135" t="s">
        <v>395</v>
      </c>
      <c r="O135" t="s">
        <v>78</v>
      </c>
      <c r="P135">
        <v>10</v>
      </c>
      <c r="Q135" t="s">
        <v>395</v>
      </c>
      <c r="R135">
        <v>30</v>
      </c>
      <c r="S135" t="s">
        <v>22</v>
      </c>
    </row>
    <row r="136" spans="1:19" x14ac:dyDescent="0.25">
      <c r="A136" t="s">
        <v>70</v>
      </c>
      <c r="B136">
        <v>3</v>
      </c>
      <c r="C136" t="s">
        <v>329</v>
      </c>
      <c r="D136">
        <v>30</v>
      </c>
      <c r="E136" t="s">
        <v>22</v>
      </c>
      <c r="G136" t="s">
        <v>162</v>
      </c>
      <c r="H136" t="s">
        <v>53</v>
      </c>
      <c r="I136">
        <v>8</v>
      </c>
      <c r="J136" t="s">
        <v>162</v>
      </c>
      <c r="K136">
        <v>30</v>
      </c>
      <c r="L136" t="s">
        <v>22</v>
      </c>
      <c r="N136" t="s">
        <v>396</v>
      </c>
      <c r="O136" t="s">
        <v>78</v>
      </c>
      <c r="P136">
        <v>11</v>
      </c>
      <c r="Q136" t="s">
        <v>396</v>
      </c>
      <c r="R136">
        <v>30</v>
      </c>
      <c r="S136" t="s">
        <v>22</v>
      </c>
    </row>
    <row r="137" spans="1:19" x14ac:dyDescent="0.25">
      <c r="A137" t="s">
        <v>70</v>
      </c>
      <c r="B137">
        <v>17</v>
      </c>
      <c r="C137" t="s">
        <v>330</v>
      </c>
      <c r="D137">
        <v>60</v>
      </c>
      <c r="E137" t="s">
        <v>22</v>
      </c>
      <c r="G137" t="s">
        <v>163</v>
      </c>
      <c r="H137" t="s">
        <v>53</v>
      </c>
      <c r="I137">
        <v>10</v>
      </c>
      <c r="J137" t="s">
        <v>163</v>
      </c>
      <c r="K137">
        <v>30</v>
      </c>
      <c r="L137" t="s">
        <v>22</v>
      </c>
      <c r="N137" t="s">
        <v>397</v>
      </c>
      <c r="O137" t="s">
        <v>78</v>
      </c>
      <c r="P137">
        <v>12</v>
      </c>
      <c r="Q137" t="s">
        <v>397</v>
      </c>
      <c r="R137">
        <v>30</v>
      </c>
      <c r="S137" t="s">
        <v>22</v>
      </c>
    </row>
    <row r="138" spans="1:19" x14ac:dyDescent="0.25">
      <c r="A138" t="s">
        <v>70</v>
      </c>
      <c r="B138">
        <v>18</v>
      </c>
      <c r="C138" t="s">
        <v>331</v>
      </c>
      <c r="D138">
        <v>30</v>
      </c>
      <c r="E138" t="s">
        <v>22</v>
      </c>
      <c r="G138" t="s">
        <v>164</v>
      </c>
      <c r="H138" t="s">
        <v>53</v>
      </c>
      <c r="I138">
        <v>11</v>
      </c>
      <c r="J138" t="s">
        <v>164</v>
      </c>
      <c r="K138">
        <v>30</v>
      </c>
      <c r="L138" t="s">
        <v>22</v>
      </c>
      <c r="N138" t="s">
        <v>398</v>
      </c>
      <c r="O138" t="s">
        <v>78</v>
      </c>
      <c r="P138">
        <v>13</v>
      </c>
      <c r="Q138" t="s">
        <v>398</v>
      </c>
      <c r="R138">
        <v>30</v>
      </c>
      <c r="S138" t="s">
        <v>22</v>
      </c>
    </row>
    <row r="139" spans="1:19" x14ac:dyDescent="0.25">
      <c r="A139" t="s">
        <v>70</v>
      </c>
      <c r="B139">
        <v>19</v>
      </c>
      <c r="C139" t="s">
        <v>332</v>
      </c>
      <c r="D139">
        <v>60</v>
      </c>
      <c r="E139" t="s">
        <v>22</v>
      </c>
      <c r="G139" t="s">
        <v>165</v>
      </c>
      <c r="H139" t="s">
        <v>53</v>
      </c>
      <c r="I139">
        <v>12</v>
      </c>
      <c r="J139" t="s">
        <v>165</v>
      </c>
      <c r="K139">
        <v>30</v>
      </c>
      <c r="L139" t="s">
        <v>22</v>
      </c>
      <c r="N139" t="s">
        <v>399</v>
      </c>
      <c r="O139" t="s">
        <v>78</v>
      </c>
      <c r="P139">
        <v>14</v>
      </c>
      <c r="Q139" t="s">
        <v>399</v>
      </c>
      <c r="R139">
        <v>30</v>
      </c>
      <c r="S139" t="s">
        <v>22</v>
      </c>
    </row>
    <row r="140" spans="1:19" x14ac:dyDescent="0.25">
      <c r="A140" t="s">
        <v>71</v>
      </c>
      <c r="B140">
        <v>1</v>
      </c>
      <c r="C140" t="s">
        <v>327</v>
      </c>
      <c r="D140">
        <v>30</v>
      </c>
      <c r="E140" t="s">
        <v>21</v>
      </c>
      <c r="G140" t="s">
        <v>166</v>
      </c>
      <c r="H140" t="s">
        <v>53</v>
      </c>
      <c r="I140">
        <v>13</v>
      </c>
      <c r="J140" t="s">
        <v>166</v>
      </c>
      <c r="K140">
        <v>30</v>
      </c>
      <c r="L140" t="s">
        <v>22</v>
      </c>
      <c r="N140" t="s">
        <v>400</v>
      </c>
      <c r="O140" t="s">
        <v>78</v>
      </c>
      <c r="P140">
        <v>15</v>
      </c>
      <c r="Q140" t="s">
        <v>400</v>
      </c>
      <c r="R140">
        <v>30</v>
      </c>
      <c r="S140" t="s">
        <v>22</v>
      </c>
    </row>
    <row r="141" spans="1:19" x14ac:dyDescent="0.25">
      <c r="A141" t="s">
        <v>71</v>
      </c>
      <c r="B141">
        <v>2</v>
      </c>
      <c r="C141" t="s">
        <v>328</v>
      </c>
      <c r="D141">
        <v>30</v>
      </c>
      <c r="E141" t="s">
        <v>21</v>
      </c>
      <c r="G141" t="s">
        <v>167</v>
      </c>
      <c r="H141" t="s">
        <v>53</v>
      </c>
      <c r="I141">
        <v>14</v>
      </c>
      <c r="J141" t="s">
        <v>167</v>
      </c>
      <c r="K141">
        <v>60</v>
      </c>
      <c r="L141" t="s">
        <v>22</v>
      </c>
      <c r="N141" t="s">
        <v>401</v>
      </c>
      <c r="O141" t="s">
        <v>78</v>
      </c>
      <c r="P141">
        <v>16</v>
      </c>
      <c r="Q141" t="s">
        <v>401</v>
      </c>
      <c r="R141">
        <v>30</v>
      </c>
      <c r="S141" t="s">
        <v>22</v>
      </c>
    </row>
    <row r="142" spans="1:19" x14ac:dyDescent="0.25">
      <c r="A142" t="s">
        <v>71</v>
      </c>
      <c r="B142">
        <v>3</v>
      </c>
      <c r="C142" t="s">
        <v>329</v>
      </c>
      <c r="D142">
        <v>30</v>
      </c>
      <c r="E142" t="s">
        <v>22</v>
      </c>
      <c r="G142" t="s">
        <v>168</v>
      </c>
      <c r="H142" t="s">
        <v>53</v>
      </c>
      <c r="I142">
        <v>15</v>
      </c>
      <c r="J142" t="s">
        <v>168</v>
      </c>
      <c r="K142">
        <v>30</v>
      </c>
      <c r="L142" t="s">
        <v>22</v>
      </c>
      <c r="N142" t="s">
        <v>402</v>
      </c>
      <c r="O142" t="s">
        <v>78</v>
      </c>
      <c r="P142">
        <v>17</v>
      </c>
      <c r="Q142" t="s">
        <v>402</v>
      </c>
      <c r="R142">
        <v>30</v>
      </c>
      <c r="S142" t="s">
        <v>22</v>
      </c>
    </row>
    <row r="143" spans="1:19" x14ac:dyDescent="0.25">
      <c r="A143" t="s">
        <v>71</v>
      </c>
      <c r="B143">
        <v>12</v>
      </c>
      <c r="C143" t="s">
        <v>335</v>
      </c>
      <c r="D143">
        <v>60</v>
      </c>
      <c r="E143" t="s">
        <v>22</v>
      </c>
      <c r="G143" t="s">
        <v>169</v>
      </c>
      <c r="H143" t="s">
        <v>53</v>
      </c>
      <c r="I143">
        <v>16</v>
      </c>
      <c r="J143" t="s">
        <v>169</v>
      </c>
      <c r="K143">
        <v>30</v>
      </c>
      <c r="L143" t="s">
        <v>22</v>
      </c>
      <c r="N143" t="s">
        <v>403</v>
      </c>
      <c r="O143" t="s">
        <v>78</v>
      </c>
      <c r="P143">
        <v>18</v>
      </c>
      <c r="Q143" t="s">
        <v>403</v>
      </c>
      <c r="R143">
        <v>30</v>
      </c>
      <c r="S143" t="s">
        <v>22</v>
      </c>
    </row>
    <row r="144" spans="1:19" x14ac:dyDescent="0.25">
      <c r="A144" t="s">
        <v>71</v>
      </c>
      <c r="B144">
        <v>17</v>
      </c>
      <c r="C144" t="s">
        <v>330</v>
      </c>
      <c r="D144">
        <v>60</v>
      </c>
      <c r="E144" t="s">
        <v>22</v>
      </c>
      <c r="G144" t="s">
        <v>170</v>
      </c>
      <c r="H144" t="s">
        <v>53</v>
      </c>
      <c r="I144">
        <v>17</v>
      </c>
      <c r="J144" t="s">
        <v>170</v>
      </c>
      <c r="K144">
        <v>30</v>
      </c>
      <c r="L144" t="s">
        <v>22</v>
      </c>
      <c r="N144" t="s">
        <v>467</v>
      </c>
      <c r="O144" t="s">
        <v>82</v>
      </c>
      <c r="P144">
        <v>6</v>
      </c>
      <c r="Q144" t="s">
        <v>467</v>
      </c>
      <c r="R144">
        <v>30</v>
      </c>
      <c r="S144" t="s">
        <v>22</v>
      </c>
    </row>
    <row r="145" spans="1:19" x14ac:dyDescent="0.25">
      <c r="A145" t="s">
        <v>71</v>
      </c>
      <c r="B145">
        <v>18</v>
      </c>
      <c r="C145" t="s">
        <v>331</v>
      </c>
      <c r="D145">
        <v>30</v>
      </c>
      <c r="E145" t="s">
        <v>22</v>
      </c>
      <c r="G145" t="s">
        <v>171</v>
      </c>
      <c r="H145" t="s">
        <v>53</v>
      </c>
      <c r="I145">
        <v>20</v>
      </c>
      <c r="J145" t="s">
        <v>171</v>
      </c>
      <c r="K145">
        <v>60</v>
      </c>
      <c r="L145" t="s">
        <v>22</v>
      </c>
      <c r="N145" t="s">
        <v>468</v>
      </c>
      <c r="O145" t="s">
        <v>82</v>
      </c>
      <c r="P145">
        <v>8</v>
      </c>
      <c r="Q145" t="s">
        <v>468</v>
      </c>
      <c r="R145">
        <v>30</v>
      </c>
      <c r="S145" t="s">
        <v>22</v>
      </c>
    </row>
    <row r="146" spans="1:19" x14ac:dyDescent="0.25">
      <c r="A146" t="s">
        <v>71</v>
      </c>
      <c r="B146">
        <v>19</v>
      </c>
      <c r="C146" t="s">
        <v>332</v>
      </c>
      <c r="D146">
        <v>60</v>
      </c>
      <c r="E146" t="s">
        <v>22</v>
      </c>
      <c r="G146" t="s">
        <v>172</v>
      </c>
      <c r="H146" t="s">
        <v>53</v>
      </c>
      <c r="I146">
        <v>21</v>
      </c>
      <c r="J146" t="s">
        <v>172</v>
      </c>
      <c r="K146">
        <v>60</v>
      </c>
      <c r="L146" t="s">
        <v>22</v>
      </c>
      <c r="N146" t="s">
        <v>469</v>
      </c>
      <c r="O146" t="s">
        <v>82</v>
      </c>
      <c r="P146">
        <v>9</v>
      </c>
      <c r="Q146" t="s">
        <v>469</v>
      </c>
      <c r="R146">
        <v>30</v>
      </c>
      <c r="S146" t="s">
        <v>22</v>
      </c>
    </row>
    <row r="147" spans="1:19" x14ac:dyDescent="0.25">
      <c r="A147" t="s">
        <v>71</v>
      </c>
      <c r="B147">
        <v>24</v>
      </c>
      <c r="C147" t="s">
        <v>343</v>
      </c>
      <c r="D147">
        <v>60</v>
      </c>
      <c r="E147" t="s">
        <v>22</v>
      </c>
      <c r="G147" t="s">
        <v>173</v>
      </c>
      <c r="H147" t="s">
        <v>53</v>
      </c>
      <c r="I147">
        <v>22</v>
      </c>
      <c r="J147" t="s">
        <v>173</v>
      </c>
      <c r="K147">
        <v>60</v>
      </c>
      <c r="L147" t="s">
        <v>22</v>
      </c>
      <c r="N147" t="s">
        <v>470</v>
      </c>
      <c r="O147" t="s">
        <v>82</v>
      </c>
      <c r="P147">
        <v>10</v>
      </c>
      <c r="Q147" t="s">
        <v>470</v>
      </c>
      <c r="R147">
        <v>30</v>
      </c>
      <c r="S147" t="s">
        <v>22</v>
      </c>
    </row>
    <row r="148" spans="1:19" x14ac:dyDescent="0.25">
      <c r="A148" t="s">
        <v>72</v>
      </c>
      <c r="B148">
        <v>1</v>
      </c>
      <c r="C148" t="s">
        <v>327</v>
      </c>
      <c r="D148">
        <v>30</v>
      </c>
      <c r="E148" t="s">
        <v>21</v>
      </c>
      <c r="G148" t="s">
        <v>174</v>
      </c>
      <c r="H148" t="s">
        <v>53</v>
      </c>
      <c r="I148">
        <v>23</v>
      </c>
      <c r="J148" t="s">
        <v>174</v>
      </c>
      <c r="K148">
        <v>60</v>
      </c>
      <c r="L148" t="s">
        <v>22</v>
      </c>
      <c r="N148" t="s">
        <v>471</v>
      </c>
      <c r="O148" t="s">
        <v>82</v>
      </c>
      <c r="P148">
        <v>11</v>
      </c>
      <c r="Q148" t="s">
        <v>471</v>
      </c>
      <c r="R148">
        <v>30</v>
      </c>
      <c r="S148" t="s">
        <v>22</v>
      </c>
    </row>
    <row r="149" spans="1:19" x14ac:dyDescent="0.25">
      <c r="A149" t="s">
        <v>72</v>
      </c>
      <c r="B149">
        <v>2</v>
      </c>
      <c r="C149" t="s">
        <v>328</v>
      </c>
      <c r="D149">
        <v>30</v>
      </c>
      <c r="E149" t="s">
        <v>21</v>
      </c>
      <c r="G149" t="s">
        <v>175</v>
      </c>
      <c r="H149" t="s">
        <v>53</v>
      </c>
      <c r="I149">
        <v>24</v>
      </c>
      <c r="J149" t="s">
        <v>175</v>
      </c>
      <c r="K149">
        <v>60</v>
      </c>
      <c r="L149" t="s">
        <v>22</v>
      </c>
      <c r="N149" t="s">
        <v>472</v>
      </c>
      <c r="O149" t="s">
        <v>82</v>
      </c>
      <c r="P149">
        <v>12</v>
      </c>
      <c r="Q149" t="s">
        <v>472</v>
      </c>
      <c r="R149">
        <v>30</v>
      </c>
      <c r="S149" t="s">
        <v>22</v>
      </c>
    </row>
    <row r="150" spans="1:19" x14ac:dyDescent="0.25">
      <c r="A150" t="s">
        <v>72</v>
      </c>
      <c r="B150">
        <v>3</v>
      </c>
      <c r="C150" t="s">
        <v>329</v>
      </c>
      <c r="D150">
        <v>30</v>
      </c>
      <c r="E150" t="s">
        <v>22</v>
      </c>
      <c r="G150" t="s">
        <v>176</v>
      </c>
      <c r="H150" t="s">
        <v>53</v>
      </c>
      <c r="I150">
        <v>25</v>
      </c>
      <c r="J150" t="s">
        <v>176</v>
      </c>
      <c r="K150">
        <v>60</v>
      </c>
      <c r="L150" t="s">
        <v>22</v>
      </c>
      <c r="N150" t="s">
        <v>473</v>
      </c>
      <c r="O150" t="s">
        <v>82</v>
      </c>
      <c r="P150">
        <v>13</v>
      </c>
      <c r="Q150" t="s">
        <v>473</v>
      </c>
      <c r="R150">
        <v>30</v>
      </c>
      <c r="S150" t="s">
        <v>22</v>
      </c>
    </row>
    <row r="151" spans="1:19" x14ac:dyDescent="0.25">
      <c r="A151" t="s">
        <v>72</v>
      </c>
      <c r="B151">
        <v>11</v>
      </c>
      <c r="C151" t="s">
        <v>334</v>
      </c>
      <c r="D151">
        <v>60</v>
      </c>
      <c r="E151" t="s">
        <v>22</v>
      </c>
      <c r="G151" t="s">
        <v>177</v>
      </c>
      <c r="H151" t="s">
        <v>53</v>
      </c>
      <c r="I151">
        <v>26</v>
      </c>
      <c r="J151" t="s">
        <v>177</v>
      </c>
      <c r="K151">
        <v>60</v>
      </c>
      <c r="L151" t="s">
        <v>22</v>
      </c>
      <c r="N151" t="s">
        <v>474</v>
      </c>
      <c r="O151" t="s">
        <v>82</v>
      </c>
      <c r="P151">
        <v>16</v>
      </c>
      <c r="Q151" t="s">
        <v>474</v>
      </c>
      <c r="R151">
        <v>30</v>
      </c>
      <c r="S151" t="s">
        <v>22</v>
      </c>
    </row>
    <row r="152" spans="1:19" x14ac:dyDescent="0.25">
      <c r="A152" t="s">
        <v>72</v>
      </c>
      <c r="B152">
        <v>17</v>
      </c>
      <c r="C152" t="s">
        <v>330</v>
      </c>
      <c r="D152">
        <v>60</v>
      </c>
      <c r="E152" t="s">
        <v>22</v>
      </c>
      <c r="G152" t="s">
        <v>178</v>
      </c>
      <c r="H152" t="s">
        <v>53</v>
      </c>
      <c r="I152">
        <v>27</v>
      </c>
      <c r="J152" t="s">
        <v>178</v>
      </c>
      <c r="K152">
        <v>60</v>
      </c>
      <c r="L152" t="s">
        <v>22</v>
      </c>
      <c r="N152" t="s">
        <v>475</v>
      </c>
      <c r="O152" t="s">
        <v>82</v>
      </c>
      <c r="P152">
        <v>23</v>
      </c>
      <c r="Q152" t="s">
        <v>475</v>
      </c>
      <c r="R152">
        <v>30</v>
      </c>
      <c r="S152" t="s">
        <v>22</v>
      </c>
    </row>
    <row r="153" spans="1:19" x14ac:dyDescent="0.25">
      <c r="A153" t="s">
        <v>72</v>
      </c>
      <c r="B153">
        <v>18</v>
      </c>
      <c r="C153" t="s">
        <v>331</v>
      </c>
      <c r="D153">
        <v>30</v>
      </c>
      <c r="E153" t="s">
        <v>22</v>
      </c>
      <c r="G153" t="s">
        <v>179</v>
      </c>
      <c r="H153" t="s">
        <v>53</v>
      </c>
      <c r="I153">
        <v>28</v>
      </c>
      <c r="J153" t="s">
        <v>179</v>
      </c>
      <c r="K153">
        <v>60</v>
      </c>
      <c r="L153" t="s">
        <v>22</v>
      </c>
      <c r="N153" t="s">
        <v>467</v>
      </c>
      <c r="O153" s="8" t="s">
        <v>83</v>
      </c>
      <c r="P153">
        <v>6</v>
      </c>
      <c r="Q153" t="s">
        <v>467</v>
      </c>
      <c r="R153">
        <v>30</v>
      </c>
      <c r="S153" t="s">
        <v>22</v>
      </c>
    </row>
    <row r="154" spans="1:19" x14ac:dyDescent="0.25">
      <c r="A154" t="s">
        <v>72</v>
      </c>
      <c r="B154">
        <v>19</v>
      </c>
      <c r="C154" t="s">
        <v>332</v>
      </c>
      <c r="D154">
        <v>60</v>
      </c>
      <c r="E154" t="s">
        <v>22</v>
      </c>
      <c r="G154" t="s">
        <v>180</v>
      </c>
      <c r="H154" t="s">
        <v>53</v>
      </c>
      <c r="I154">
        <v>29</v>
      </c>
      <c r="J154" t="s">
        <v>180</v>
      </c>
      <c r="K154">
        <v>60</v>
      </c>
      <c r="L154" t="s">
        <v>22</v>
      </c>
      <c r="N154" t="s">
        <v>468</v>
      </c>
      <c r="O154" s="8" t="s">
        <v>83</v>
      </c>
      <c r="P154">
        <v>8</v>
      </c>
      <c r="Q154" t="s">
        <v>468</v>
      </c>
      <c r="R154">
        <v>30</v>
      </c>
      <c r="S154" t="s">
        <v>22</v>
      </c>
    </row>
    <row r="155" spans="1:19" x14ac:dyDescent="0.25">
      <c r="A155" t="s">
        <v>72</v>
      </c>
      <c r="B155">
        <v>22</v>
      </c>
      <c r="C155" t="s">
        <v>341</v>
      </c>
      <c r="D155">
        <v>60</v>
      </c>
      <c r="E155" t="s">
        <v>22</v>
      </c>
      <c r="G155" t="s">
        <v>181</v>
      </c>
      <c r="H155" t="s">
        <v>53</v>
      </c>
      <c r="I155">
        <v>30</v>
      </c>
      <c r="J155" t="s">
        <v>181</v>
      </c>
      <c r="K155">
        <v>30</v>
      </c>
      <c r="L155" t="s">
        <v>22</v>
      </c>
      <c r="N155" t="s">
        <v>469</v>
      </c>
      <c r="O155" s="8" t="s">
        <v>83</v>
      </c>
      <c r="P155">
        <v>9</v>
      </c>
      <c r="Q155" t="s">
        <v>469</v>
      </c>
      <c r="R155">
        <v>30</v>
      </c>
      <c r="S155" t="s">
        <v>22</v>
      </c>
    </row>
    <row r="156" spans="1:19" x14ac:dyDescent="0.25">
      <c r="A156" t="s">
        <v>73</v>
      </c>
      <c r="B156">
        <v>1</v>
      </c>
      <c r="C156" t="s">
        <v>356</v>
      </c>
      <c r="D156">
        <v>30</v>
      </c>
      <c r="E156" t="s">
        <v>21</v>
      </c>
      <c r="G156" t="s">
        <v>182</v>
      </c>
      <c r="H156" t="s">
        <v>53</v>
      </c>
      <c r="I156">
        <v>31</v>
      </c>
      <c r="J156" t="s">
        <v>182</v>
      </c>
      <c r="K156">
        <v>30</v>
      </c>
      <c r="L156" t="s">
        <v>22</v>
      </c>
      <c r="N156" t="s">
        <v>470</v>
      </c>
      <c r="O156" s="8" t="s">
        <v>83</v>
      </c>
      <c r="P156">
        <v>10</v>
      </c>
      <c r="Q156" t="s">
        <v>470</v>
      </c>
      <c r="R156">
        <v>30</v>
      </c>
      <c r="S156" t="s">
        <v>22</v>
      </c>
    </row>
    <row r="157" spans="1:19" x14ac:dyDescent="0.25">
      <c r="A157" t="s">
        <v>73</v>
      </c>
      <c r="B157">
        <v>2</v>
      </c>
      <c r="C157" t="s">
        <v>357</v>
      </c>
      <c r="D157">
        <v>30</v>
      </c>
      <c r="E157" t="s">
        <v>22</v>
      </c>
      <c r="G157" t="s">
        <v>183</v>
      </c>
      <c r="H157" t="s">
        <v>53</v>
      </c>
      <c r="I157">
        <v>32</v>
      </c>
      <c r="J157" t="s">
        <v>183</v>
      </c>
      <c r="K157">
        <v>30</v>
      </c>
      <c r="L157" t="s">
        <v>22</v>
      </c>
      <c r="N157" t="s">
        <v>471</v>
      </c>
      <c r="O157" s="8" t="s">
        <v>83</v>
      </c>
      <c r="P157">
        <v>11</v>
      </c>
      <c r="Q157" t="s">
        <v>471</v>
      </c>
      <c r="R157">
        <v>30</v>
      </c>
      <c r="S157" t="s">
        <v>22</v>
      </c>
    </row>
    <row r="158" spans="1:19" x14ac:dyDescent="0.25">
      <c r="A158" t="s">
        <v>73</v>
      </c>
      <c r="B158">
        <v>8</v>
      </c>
      <c r="C158" t="s">
        <v>358</v>
      </c>
      <c r="D158">
        <v>30</v>
      </c>
      <c r="E158" t="s">
        <v>21</v>
      </c>
      <c r="G158" t="s">
        <v>190</v>
      </c>
      <c r="H158" t="s">
        <v>58</v>
      </c>
      <c r="I158">
        <v>5</v>
      </c>
      <c r="J158" t="s">
        <v>190</v>
      </c>
      <c r="K158">
        <v>30</v>
      </c>
      <c r="L158" t="s">
        <v>22</v>
      </c>
      <c r="N158" t="s">
        <v>472</v>
      </c>
      <c r="O158" s="8" t="s">
        <v>83</v>
      </c>
      <c r="P158">
        <v>12</v>
      </c>
      <c r="Q158" t="s">
        <v>472</v>
      </c>
      <c r="R158">
        <v>30</v>
      </c>
      <c r="S158" t="s">
        <v>22</v>
      </c>
    </row>
    <row r="159" spans="1:19" x14ac:dyDescent="0.25">
      <c r="A159" t="s">
        <v>73</v>
      </c>
      <c r="B159">
        <v>16</v>
      </c>
      <c r="C159" t="s">
        <v>359</v>
      </c>
      <c r="D159">
        <v>30</v>
      </c>
      <c r="E159" t="s">
        <v>22</v>
      </c>
      <c r="G159" t="s">
        <v>191</v>
      </c>
      <c r="H159" t="s">
        <v>58</v>
      </c>
      <c r="I159">
        <v>6</v>
      </c>
      <c r="J159" t="s">
        <v>191</v>
      </c>
      <c r="K159">
        <v>30</v>
      </c>
      <c r="L159" t="s">
        <v>22</v>
      </c>
      <c r="N159" t="s">
        <v>473</v>
      </c>
      <c r="O159" s="8" t="s">
        <v>83</v>
      </c>
      <c r="P159">
        <v>13</v>
      </c>
      <c r="Q159" t="s">
        <v>473</v>
      </c>
      <c r="R159">
        <v>30</v>
      </c>
      <c r="S159" t="s">
        <v>22</v>
      </c>
    </row>
    <row r="160" spans="1:19" x14ac:dyDescent="0.25">
      <c r="A160" t="s">
        <v>73</v>
      </c>
      <c r="B160">
        <v>17</v>
      </c>
      <c r="C160" t="s">
        <v>360</v>
      </c>
      <c r="D160">
        <v>60</v>
      </c>
      <c r="E160" t="s">
        <v>22</v>
      </c>
      <c r="G160" t="s">
        <v>192</v>
      </c>
      <c r="H160" t="s">
        <v>58</v>
      </c>
      <c r="I160">
        <v>7</v>
      </c>
      <c r="J160" t="s">
        <v>192</v>
      </c>
      <c r="K160">
        <v>30</v>
      </c>
      <c r="L160" t="s">
        <v>22</v>
      </c>
      <c r="N160" t="s">
        <v>460</v>
      </c>
      <c r="O160" s="8" t="s">
        <v>83</v>
      </c>
      <c r="P160">
        <v>15</v>
      </c>
      <c r="Q160" t="s">
        <v>460</v>
      </c>
      <c r="R160">
        <v>60</v>
      </c>
      <c r="S160" t="s">
        <v>22</v>
      </c>
    </row>
    <row r="161" spans="1:19" x14ac:dyDescent="0.25">
      <c r="A161" t="s">
        <v>73</v>
      </c>
      <c r="B161">
        <v>28</v>
      </c>
      <c r="C161" t="s">
        <v>361</v>
      </c>
      <c r="D161">
        <v>60</v>
      </c>
      <c r="E161" t="s">
        <v>22</v>
      </c>
      <c r="G161" t="s">
        <v>193</v>
      </c>
      <c r="H161" t="s">
        <v>58</v>
      </c>
      <c r="I161">
        <v>8</v>
      </c>
      <c r="J161" t="s">
        <v>193</v>
      </c>
      <c r="K161">
        <v>30</v>
      </c>
      <c r="L161" t="s">
        <v>22</v>
      </c>
      <c r="N161" t="s">
        <v>474</v>
      </c>
      <c r="O161" s="8" t="s">
        <v>83</v>
      </c>
      <c r="P161">
        <v>16</v>
      </c>
      <c r="Q161" t="s">
        <v>474</v>
      </c>
      <c r="R161">
        <v>30</v>
      </c>
      <c r="S161" t="s">
        <v>22</v>
      </c>
    </row>
    <row r="162" spans="1:19" x14ac:dyDescent="0.25">
      <c r="A162" t="s">
        <v>74</v>
      </c>
      <c r="B162">
        <v>1</v>
      </c>
      <c r="C162" t="s">
        <v>384</v>
      </c>
      <c r="D162">
        <v>30</v>
      </c>
      <c r="E162" t="s">
        <v>21</v>
      </c>
      <c r="G162" t="s">
        <v>194</v>
      </c>
      <c r="H162" t="s">
        <v>58</v>
      </c>
      <c r="I162">
        <v>9</v>
      </c>
      <c r="J162" t="s">
        <v>194</v>
      </c>
      <c r="K162">
        <v>30</v>
      </c>
      <c r="L162" t="s">
        <v>22</v>
      </c>
      <c r="N162" t="s">
        <v>461</v>
      </c>
      <c r="O162" s="8" t="s">
        <v>83</v>
      </c>
      <c r="P162">
        <v>17</v>
      </c>
      <c r="Q162" t="s">
        <v>461</v>
      </c>
      <c r="R162">
        <v>60</v>
      </c>
      <c r="S162" t="s">
        <v>22</v>
      </c>
    </row>
    <row r="163" spans="1:19" x14ac:dyDescent="0.25">
      <c r="A163" t="s">
        <v>74</v>
      </c>
      <c r="B163">
        <v>2</v>
      </c>
      <c r="C163" t="s">
        <v>385</v>
      </c>
      <c r="D163">
        <v>30</v>
      </c>
      <c r="E163" t="s">
        <v>22</v>
      </c>
      <c r="G163" t="s">
        <v>195</v>
      </c>
      <c r="H163" t="s">
        <v>58</v>
      </c>
      <c r="I163">
        <v>10</v>
      </c>
      <c r="J163" t="s">
        <v>195</v>
      </c>
      <c r="K163">
        <v>30</v>
      </c>
      <c r="L163" t="s">
        <v>22</v>
      </c>
      <c r="N163" t="s">
        <v>475</v>
      </c>
      <c r="O163" s="8" t="s">
        <v>83</v>
      </c>
      <c r="P163">
        <v>23</v>
      </c>
      <c r="Q163" t="s">
        <v>475</v>
      </c>
      <c r="R163">
        <v>30</v>
      </c>
      <c r="S163" t="s">
        <v>22</v>
      </c>
    </row>
    <row r="164" spans="1:19" x14ac:dyDescent="0.25">
      <c r="A164" t="s">
        <v>74</v>
      </c>
      <c r="B164">
        <v>8</v>
      </c>
      <c r="C164" t="s">
        <v>386</v>
      </c>
      <c r="D164">
        <v>30</v>
      </c>
      <c r="E164" t="s">
        <v>21</v>
      </c>
      <c r="G164" t="s">
        <v>196</v>
      </c>
      <c r="H164" t="s">
        <v>58</v>
      </c>
      <c r="I164">
        <v>13</v>
      </c>
      <c r="J164" t="s">
        <v>196</v>
      </c>
      <c r="K164">
        <v>30</v>
      </c>
      <c r="L164" t="s">
        <v>22</v>
      </c>
      <c r="N164" t="s">
        <v>466</v>
      </c>
      <c r="O164" s="8" t="s">
        <v>83</v>
      </c>
      <c r="P164">
        <v>24</v>
      </c>
      <c r="Q164" t="s">
        <v>466</v>
      </c>
      <c r="R164">
        <v>60</v>
      </c>
      <c r="S164" t="s">
        <v>22</v>
      </c>
    </row>
    <row r="165" spans="1:19" x14ac:dyDescent="0.25">
      <c r="A165" t="s">
        <v>74</v>
      </c>
      <c r="B165">
        <v>9</v>
      </c>
      <c r="C165" t="s">
        <v>387</v>
      </c>
      <c r="D165">
        <v>30</v>
      </c>
      <c r="E165" t="s">
        <v>22</v>
      </c>
      <c r="G165" t="s">
        <v>197</v>
      </c>
      <c r="H165" t="s">
        <v>58</v>
      </c>
      <c r="I165">
        <v>14</v>
      </c>
      <c r="J165" t="s">
        <v>197</v>
      </c>
      <c r="K165">
        <v>30</v>
      </c>
      <c r="L165" t="s">
        <v>22</v>
      </c>
      <c r="N165" t="s">
        <v>467</v>
      </c>
      <c r="O165" s="8" t="s">
        <v>84</v>
      </c>
      <c r="P165">
        <v>6</v>
      </c>
      <c r="Q165" t="s">
        <v>467</v>
      </c>
      <c r="R165">
        <v>30</v>
      </c>
      <c r="S165" t="s">
        <v>22</v>
      </c>
    </row>
    <row r="166" spans="1:19" x14ac:dyDescent="0.25">
      <c r="A166" t="s">
        <v>74</v>
      </c>
      <c r="B166">
        <v>31</v>
      </c>
      <c r="C166" t="s">
        <v>388</v>
      </c>
      <c r="D166">
        <v>60</v>
      </c>
      <c r="E166" t="s">
        <v>22</v>
      </c>
      <c r="G166" t="s">
        <v>198</v>
      </c>
      <c r="H166" t="s">
        <v>58</v>
      </c>
      <c r="I166">
        <v>15</v>
      </c>
      <c r="J166" t="s">
        <v>198</v>
      </c>
      <c r="K166">
        <v>30</v>
      </c>
      <c r="L166" t="s">
        <v>22</v>
      </c>
      <c r="N166" t="s">
        <v>468</v>
      </c>
      <c r="O166" s="8" t="s">
        <v>84</v>
      </c>
      <c r="P166">
        <v>8</v>
      </c>
      <c r="Q166" t="s">
        <v>468</v>
      </c>
      <c r="R166">
        <v>30</v>
      </c>
      <c r="S166" t="s">
        <v>22</v>
      </c>
    </row>
    <row r="167" spans="1:19" x14ac:dyDescent="0.25">
      <c r="A167" t="s">
        <v>74</v>
      </c>
      <c r="B167">
        <v>37</v>
      </c>
      <c r="C167" t="s">
        <v>389</v>
      </c>
      <c r="D167">
        <v>60</v>
      </c>
      <c r="E167" t="s">
        <v>22</v>
      </c>
      <c r="G167" t="s">
        <v>199</v>
      </c>
      <c r="H167" t="s">
        <v>58</v>
      </c>
      <c r="I167">
        <v>16</v>
      </c>
      <c r="J167" t="s">
        <v>199</v>
      </c>
      <c r="K167">
        <v>60</v>
      </c>
      <c r="L167" t="s">
        <v>22</v>
      </c>
      <c r="N167" t="s">
        <v>471</v>
      </c>
      <c r="O167" s="8" t="s">
        <v>84</v>
      </c>
      <c r="P167">
        <v>11</v>
      </c>
      <c r="Q167" t="s">
        <v>471</v>
      </c>
      <c r="R167">
        <v>30</v>
      </c>
      <c r="S167" t="s">
        <v>22</v>
      </c>
    </row>
    <row r="168" spans="1:19" x14ac:dyDescent="0.25">
      <c r="A168" t="s">
        <v>75</v>
      </c>
      <c r="B168">
        <v>1</v>
      </c>
      <c r="C168" t="s">
        <v>384</v>
      </c>
      <c r="D168">
        <v>30</v>
      </c>
      <c r="E168" t="s">
        <v>21</v>
      </c>
      <c r="G168" t="s">
        <v>200</v>
      </c>
      <c r="H168" t="s">
        <v>58</v>
      </c>
      <c r="I168">
        <v>17</v>
      </c>
      <c r="J168" t="s">
        <v>200</v>
      </c>
      <c r="K168">
        <v>60</v>
      </c>
      <c r="L168" t="s">
        <v>22</v>
      </c>
      <c r="N168" t="s">
        <v>472</v>
      </c>
      <c r="O168" s="8" t="s">
        <v>84</v>
      </c>
      <c r="P168">
        <v>12</v>
      </c>
      <c r="Q168" t="s">
        <v>472</v>
      </c>
      <c r="R168">
        <v>30</v>
      </c>
      <c r="S168" t="s">
        <v>22</v>
      </c>
    </row>
    <row r="169" spans="1:19" x14ac:dyDescent="0.25">
      <c r="A169" t="s">
        <v>75</v>
      </c>
      <c r="B169">
        <v>2</v>
      </c>
      <c r="C169" t="s">
        <v>385</v>
      </c>
      <c r="D169">
        <v>30</v>
      </c>
      <c r="E169" t="s">
        <v>22</v>
      </c>
      <c r="G169" t="s">
        <v>201</v>
      </c>
      <c r="H169" t="s">
        <v>58</v>
      </c>
      <c r="I169">
        <v>18</v>
      </c>
      <c r="J169" t="s">
        <v>201</v>
      </c>
      <c r="K169">
        <v>60</v>
      </c>
      <c r="L169" t="s">
        <v>22</v>
      </c>
      <c r="N169" t="s">
        <v>473</v>
      </c>
      <c r="O169" s="8" t="s">
        <v>84</v>
      </c>
      <c r="P169">
        <v>13</v>
      </c>
      <c r="Q169" t="s">
        <v>473</v>
      </c>
      <c r="R169">
        <v>30</v>
      </c>
      <c r="S169" t="s">
        <v>22</v>
      </c>
    </row>
    <row r="170" spans="1:19" x14ac:dyDescent="0.25">
      <c r="A170" t="s">
        <v>75</v>
      </c>
      <c r="B170">
        <v>3</v>
      </c>
      <c r="C170" t="s">
        <v>390</v>
      </c>
      <c r="D170">
        <v>60</v>
      </c>
      <c r="E170" t="s">
        <v>22</v>
      </c>
      <c r="G170" t="s">
        <v>202</v>
      </c>
      <c r="H170" t="s">
        <v>58</v>
      </c>
      <c r="I170">
        <v>19</v>
      </c>
      <c r="J170" t="s">
        <v>202</v>
      </c>
      <c r="K170">
        <v>30</v>
      </c>
      <c r="L170" t="s">
        <v>22</v>
      </c>
      <c r="N170" t="s">
        <v>474</v>
      </c>
      <c r="O170" s="8" t="s">
        <v>84</v>
      </c>
      <c r="P170">
        <v>16</v>
      </c>
      <c r="Q170" t="s">
        <v>474</v>
      </c>
      <c r="R170">
        <v>30</v>
      </c>
      <c r="S170" t="s">
        <v>22</v>
      </c>
    </row>
    <row r="171" spans="1:19" x14ac:dyDescent="0.25">
      <c r="A171" t="s">
        <v>75</v>
      </c>
      <c r="B171">
        <v>8</v>
      </c>
      <c r="C171" t="s">
        <v>386</v>
      </c>
      <c r="D171">
        <v>30</v>
      </c>
      <c r="E171" t="s">
        <v>21</v>
      </c>
      <c r="G171" t="s">
        <v>203</v>
      </c>
      <c r="H171" t="s">
        <v>58</v>
      </c>
      <c r="I171">
        <v>20</v>
      </c>
      <c r="J171" t="s">
        <v>203</v>
      </c>
      <c r="K171">
        <v>30</v>
      </c>
      <c r="L171" t="s">
        <v>22</v>
      </c>
      <c r="N171" t="s">
        <v>475</v>
      </c>
      <c r="O171" s="8" t="s">
        <v>84</v>
      </c>
      <c r="P171">
        <v>23</v>
      </c>
      <c r="Q171" t="s">
        <v>475</v>
      </c>
      <c r="R171">
        <v>30</v>
      </c>
      <c r="S171" t="s">
        <v>22</v>
      </c>
    </row>
    <row r="172" spans="1:19" x14ac:dyDescent="0.25">
      <c r="A172" t="s">
        <v>75</v>
      </c>
      <c r="B172">
        <v>9</v>
      </c>
      <c r="C172" t="s">
        <v>387</v>
      </c>
      <c r="D172">
        <v>30</v>
      </c>
      <c r="E172" t="s">
        <v>22</v>
      </c>
      <c r="G172" t="s">
        <v>204</v>
      </c>
      <c r="H172" t="s">
        <v>58</v>
      </c>
      <c r="I172">
        <v>22</v>
      </c>
      <c r="J172" t="s">
        <v>204</v>
      </c>
      <c r="K172">
        <v>60</v>
      </c>
      <c r="L172" t="s">
        <v>22</v>
      </c>
    </row>
    <row r="173" spans="1:19" x14ac:dyDescent="0.25">
      <c r="A173" t="s">
        <v>75</v>
      </c>
      <c r="B173">
        <v>31</v>
      </c>
      <c r="C173" t="s">
        <v>388</v>
      </c>
      <c r="D173">
        <v>60</v>
      </c>
      <c r="E173" t="s">
        <v>22</v>
      </c>
      <c r="G173" t="s">
        <v>205</v>
      </c>
      <c r="H173" t="s">
        <v>58</v>
      </c>
      <c r="I173">
        <v>23</v>
      </c>
      <c r="J173" t="s">
        <v>205</v>
      </c>
      <c r="K173">
        <v>60</v>
      </c>
      <c r="L173" t="s">
        <v>22</v>
      </c>
    </row>
    <row r="174" spans="1:19" x14ac:dyDescent="0.25">
      <c r="A174" t="s">
        <v>75</v>
      </c>
      <c r="B174">
        <v>37</v>
      </c>
      <c r="C174" t="s">
        <v>389</v>
      </c>
      <c r="D174">
        <v>60</v>
      </c>
      <c r="E174" t="s">
        <v>22</v>
      </c>
      <c r="G174" t="s">
        <v>206</v>
      </c>
      <c r="H174" t="s">
        <v>58</v>
      </c>
      <c r="I174">
        <v>24</v>
      </c>
      <c r="J174" t="s">
        <v>206</v>
      </c>
      <c r="K174">
        <v>60</v>
      </c>
      <c r="L174" t="s">
        <v>22</v>
      </c>
    </row>
    <row r="175" spans="1:19" x14ac:dyDescent="0.25">
      <c r="A175" t="s">
        <v>76</v>
      </c>
      <c r="B175">
        <v>1</v>
      </c>
      <c r="C175" t="s">
        <v>384</v>
      </c>
      <c r="D175">
        <v>30</v>
      </c>
      <c r="E175" t="s">
        <v>21</v>
      </c>
      <c r="G175" t="s">
        <v>207</v>
      </c>
      <c r="H175" t="s">
        <v>58</v>
      </c>
      <c r="I175">
        <v>25</v>
      </c>
      <c r="J175" t="s">
        <v>207</v>
      </c>
      <c r="K175">
        <v>60</v>
      </c>
      <c r="L175" t="s">
        <v>22</v>
      </c>
    </row>
    <row r="176" spans="1:19" x14ac:dyDescent="0.25">
      <c r="A176" t="s">
        <v>76</v>
      </c>
      <c r="B176">
        <v>2</v>
      </c>
      <c r="C176" t="s">
        <v>385</v>
      </c>
      <c r="D176">
        <v>30</v>
      </c>
      <c r="E176" t="s">
        <v>22</v>
      </c>
      <c r="G176" t="s">
        <v>208</v>
      </c>
      <c r="H176" t="s">
        <v>58</v>
      </c>
      <c r="I176">
        <v>26</v>
      </c>
      <c r="J176" t="s">
        <v>208</v>
      </c>
      <c r="K176">
        <v>60</v>
      </c>
      <c r="L176" t="s">
        <v>22</v>
      </c>
    </row>
    <row r="177" spans="1:12" x14ac:dyDescent="0.25">
      <c r="A177" t="s">
        <v>76</v>
      </c>
      <c r="B177">
        <v>4</v>
      </c>
      <c r="C177" t="s">
        <v>391</v>
      </c>
      <c r="D177">
        <v>60</v>
      </c>
      <c r="E177" t="s">
        <v>22</v>
      </c>
      <c r="G177" t="s">
        <v>209</v>
      </c>
      <c r="H177" t="s">
        <v>58</v>
      </c>
      <c r="I177">
        <v>27</v>
      </c>
      <c r="J177" t="s">
        <v>209</v>
      </c>
      <c r="K177">
        <v>30</v>
      </c>
      <c r="L177" t="s">
        <v>22</v>
      </c>
    </row>
    <row r="178" spans="1:12" x14ac:dyDescent="0.25">
      <c r="A178" t="s">
        <v>76</v>
      </c>
      <c r="B178">
        <v>8</v>
      </c>
      <c r="C178" t="s">
        <v>386</v>
      </c>
      <c r="D178">
        <v>30</v>
      </c>
      <c r="E178" t="s">
        <v>21</v>
      </c>
      <c r="G178" t="s">
        <v>210</v>
      </c>
      <c r="H178" t="s">
        <v>58</v>
      </c>
      <c r="I178">
        <v>28</v>
      </c>
      <c r="J178" t="s">
        <v>210</v>
      </c>
      <c r="K178">
        <v>30</v>
      </c>
      <c r="L178" t="s">
        <v>22</v>
      </c>
    </row>
    <row r="179" spans="1:12" x14ac:dyDescent="0.25">
      <c r="A179" t="s">
        <v>76</v>
      </c>
      <c r="B179">
        <v>9</v>
      </c>
      <c r="C179" t="s">
        <v>387</v>
      </c>
      <c r="D179">
        <v>30</v>
      </c>
      <c r="E179" t="s">
        <v>22</v>
      </c>
      <c r="G179" t="s">
        <v>217</v>
      </c>
      <c r="H179" t="s">
        <v>59</v>
      </c>
      <c r="I179">
        <v>3</v>
      </c>
      <c r="J179" t="s">
        <v>217</v>
      </c>
      <c r="K179">
        <v>30</v>
      </c>
      <c r="L179" t="s">
        <v>22</v>
      </c>
    </row>
    <row r="180" spans="1:12" x14ac:dyDescent="0.25">
      <c r="A180" t="s">
        <v>76</v>
      </c>
      <c r="B180">
        <v>31</v>
      </c>
      <c r="C180" t="s">
        <v>388</v>
      </c>
      <c r="D180">
        <v>60</v>
      </c>
      <c r="E180" t="s">
        <v>22</v>
      </c>
      <c r="G180" t="s">
        <v>218</v>
      </c>
      <c r="H180" t="s">
        <v>59</v>
      </c>
      <c r="I180">
        <v>4</v>
      </c>
      <c r="J180" t="s">
        <v>218</v>
      </c>
      <c r="K180">
        <v>30</v>
      </c>
      <c r="L180" t="s">
        <v>22</v>
      </c>
    </row>
    <row r="181" spans="1:12" x14ac:dyDescent="0.25">
      <c r="A181" t="s">
        <v>76</v>
      </c>
      <c r="B181">
        <v>37</v>
      </c>
      <c r="C181" t="s">
        <v>389</v>
      </c>
      <c r="D181">
        <v>60</v>
      </c>
      <c r="E181" t="s">
        <v>22</v>
      </c>
      <c r="G181" t="s">
        <v>219</v>
      </c>
      <c r="H181" t="s">
        <v>59</v>
      </c>
      <c r="I181">
        <v>5</v>
      </c>
      <c r="J181" t="s">
        <v>219</v>
      </c>
      <c r="K181">
        <v>30</v>
      </c>
      <c r="L181" t="s">
        <v>22</v>
      </c>
    </row>
    <row r="182" spans="1:12" x14ac:dyDescent="0.25">
      <c r="A182" t="s">
        <v>78</v>
      </c>
      <c r="B182">
        <v>1</v>
      </c>
      <c r="C182" t="s">
        <v>384</v>
      </c>
      <c r="D182">
        <v>30</v>
      </c>
      <c r="E182" t="s">
        <v>21</v>
      </c>
      <c r="G182" t="s">
        <v>220</v>
      </c>
      <c r="H182" t="s">
        <v>59</v>
      </c>
      <c r="I182">
        <v>6</v>
      </c>
      <c r="J182" t="s">
        <v>220</v>
      </c>
      <c r="K182">
        <v>30</v>
      </c>
      <c r="L182" t="s">
        <v>22</v>
      </c>
    </row>
    <row r="183" spans="1:12" x14ac:dyDescent="0.25">
      <c r="A183" t="s">
        <v>78</v>
      </c>
      <c r="B183">
        <v>2</v>
      </c>
      <c r="C183" t="s">
        <v>385</v>
      </c>
      <c r="D183">
        <v>30</v>
      </c>
      <c r="E183" t="s">
        <v>22</v>
      </c>
      <c r="G183" t="s">
        <v>221</v>
      </c>
      <c r="H183" t="s">
        <v>59</v>
      </c>
      <c r="I183">
        <v>7</v>
      </c>
      <c r="J183" t="s">
        <v>221</v>
      </c>
      <c r="K183">
        <v>30</v>
      </c>
      <c r="L183" t="s">
        <v>22</v>
      </c>
    </row>
    <row r="184" spans="1:12" x14ac:dyDescent="0.25">
      <c r="A184" t="s">
        <v>78</v>
      </c>
      <c r="B184">
        <v>7</v>
      </c>
      <c r="C184" t="s">
        <v>394</v>
      </c>
      <c r="D184">
        <v>60</v>
      </c>
      <c r="E184" t="s">
        <v>22</v>
      </c>
      <c r="G184" t="s">
        <v>222</v>
      </c>
      <c r="H184" t="s">
        <v>59</v>
      </c>
      <c r="I184">
        <v>9</v>
      </c>
      <c r="J184" t="s">
        <v>222</v>
      </c>
      <c r="K184">
        <v>60</v>
      </c>
      <c r="L184" t="s">
        <v>22</v>
      </c>
    </row>
    <row r="185" spans="1:12" x14ac:dyDescent="0.25">
      <c r="A185" t="s">
        <v>78</v>
      </c>
      <c r="B185">
        <v>8</v>
      </c>
      <c r="C185" t="s">
        <v>386</v>
      </c>
      <c r="D185">
        <v>30</v>
      </c>
      <c r="E185" t="s">
        <v>21</v>
      </c>
      <c r="G185" t="s">
        <v>223</v>
      </c>
      <c r="H185" t="s">
        <v>59</v>
      </c>
      <c r="I185">
        <v>10</v>
      </c>
      <c r="J185" t="s">
        <v>223</v>
      </c>
      <c r="K185">
        <v>60</v>
      </c>
      <c r="L185" t="s">
        <v>22</v>
      </c>
    </row>
    <row r="186" spans="1:12" x14ac:dyDescent="0.25">
      <c r="A186" t="s">
        <v>78</v>
      </c>
      <c r="B186">
        <v>9</v>
      </c>
      <c r="C186" t="s">
        <v>387</v>
      </c>
      <c r="D186">
        <v>30</v>
      </c>
      <c r="E186" t="s">
        <v>22</v>
      </c>
      <c r="G186" t="s">
        <v>224</v>
      </c>
      <c r="H186" t="s">
        <v>59</v>
      </c>
      <c r="I186">
        <v>11</v>
      </c>
      <c r="J186" t="s">
        <v>224</v>
      </c>
      <c r="K186">
        <v>60</v>
      </c>
      <c r="L186" t="s">
        <v>22</v>
      </c>
    </row>
    <row r="187" spans="1:12" x14ac:dyDescent="0.25">
      <c r="A187" t="s">
        <v>78</v>
      </c>
      <c r="B187">
        <v>31</v>
      </c>
      <c r="C187" t="s">
        <v>388</v>
      </c>
      <c r="D187">
        <v>60</v>
      </c>
      <c r="E187" t="s">
        <v>22</v>
      </c>
      <c r="G187" t="s">
        <v>225</v>
      </c>
      <c r="H187" t="s">
        <v>59</v>
      </c>
      <c r="I187">
        <v>12</v>
      </c>
      <c r="J187" t="s">
        <v>225</v>
      </c>
      <c r="K187">
        <v>30</v>
      </c>
      <c r="L187" t="s">
        <v>22</v>
      </c>
    </row>
    <row r="188" spans="1:12" x14ac:dyDescent="0.25">
      <c r="A188" t="s">
        <v>78</v>
      </c>
      <c r="B188">
        <v>37</v>
      </c>
      <c r="C188" t="s">
        <v>389</v>
      </c>
      <c r="D188">
        <v>60</v>
      </c>
      <c r="E188" t="s">
        <v>22</v>
      </c>
      <c r="G188" t="s">
        <v>226</v>
      </c>
      <c r="H188" t="s">
        <v>59</v>
      </c>
      <c r="I188">
        <v>13</v>
      </c>
      <c r="J188" t="s">
        <v>226</v>
      </c>
      <c r="K188">
        <v>30</v>
      </c>
      <c r="L188" t="s">
        <v>22</v>
      </c>
    </row>
    <row r="189" spans="1:12" x14ac:dyDescent="0.25">
      <c r="A189" t="s">
        <v>79</v>
      </c>
      <c r="B189">
        <v>1</v>
      </c>
      <c r="C189" t="s">
        <v>432</v>
      </c>
      <c r="D189">
        <v>30</v>
      </c>
      <c r="E189" t="s">
        <v>21</v>
      </c>
      <c r="G189" t="s">
        <v>227</v>
      </c>
      <c r="H189" t="s">
        <v>59</v>
      </c>
      <c r="I189">
        <v>14</v>
      </c>
      <c r="J189" t="s">
        <v>227</v>
      </c>
      <c r="K189">
        <v>30</v>
      </c>
      <c r="L189" t="s">
        <v>22</v>
      </c>
    </row>
    <row r="190" spans="1:12" x14ac:dyDescent="0.25">
      <c r="A190" t="s">
        <v>79</v>
      </c>
      <c r="B190">
        <v>2</v>
      </c>
      <c r="C190" t="s">
        <v>433</v>
      </c>
      <c r="D190">
        <v>30</v>
      </c>
      <c r="E190" t="s">
        <v>22</v>
      </c>
      <c r="G190" t="s">
        <v>228</v>
      </c>
      <c r="H190" t="s">
        <v>59</v>
      </c>
      <c r="I190">
        <v>15</v>
      </c>
      <c r="J190" t="s">
        <v>228</v>
      </c>
      <c r="K190">
        <v>30</v>
      </c>
      <c r="L190" t="s">
        <v>22</v>
      </c>
    </row>
    <row r="191" spans="1:12" x14ac:dyDescent="0.25">
      <c r="A191" t="s">
        <v>79</v>
      </c>
      <c r="B191">
        <v>6</v>
      </c>
      <c r="C191" t="s">
        <v>434</v>
      </c>
      <c r="D191">
        <v>30</v>
      </c>
      <c r="E191" t="s">
        <v>21</v>
      </c>
      <c r="G191" t="s">
        <v>229</v>
      </c>
      <c r="H191" t="s">
        <v>59</v>
      </c>
      <c r="I191">
        <v>16</v>
      </c>
      <c r="J191" t="s">
        <v>229</v>
      </c>
      <c r="K191">
        <v>30</v>
      </c>
      <c r="L191" t="s">
        <v>22</v>
      </c>
    </row>
    <row r="192" spans="1:12" x14ac:dyDescent="0.25">
      <c r="A192" t="s">
        <v>79</v>
      </c>
      <c r="B192">
        <v>7</v>
      </c>
      <c r="C192" t="s">
        <v>435</v>
      </c>
      <c r="D192">
        <v>60</v>
      </c>
      <c r="E192" t="s">
        <v>22</v>
      </c>
      <c r="G192" t="s">
        <v>230</v>
      </c>
      <c r="H192" t="s">
        <v>59</v>
      </c>
      <c r="I192">
        <v>17</v>
      </c>
      <c r="J192" t="s">
        <v>230</v>
      </c>
      <c r="K192">
        <v>30</v>
      </c>
      <c r="L192" t="s">
        <v>22</v>
      </c>
    </row>
    <row r="193" spans="1:12" x14ac:dyDescent="0.25">
      <c r="A193" t="s">
        <v>79</v>
      </c>
      <c r="B193">
        <v>16</v>
      </c>
      <c r="C193" t="s">
        <v>436</v>
      </c>
      <c r="D193">
        <v>30</v>
      </c>
      <c r="E193" t="s">
        <v>22</v>
      </c>
      <c r="G193" t="s">
        <v>231</v>
      </c>
      <c r="H193" t="s">
        <v>59</v>
      </c>
      <c r="I193">
        <v>18</v>
      </c>
      <c r="J193" t="s">
        <v>231</v>
      </c>
      <c r="K193">
        <v>30</v>
      </c>
      <c r="L193" t="s">
        <v>22</v>
      </c>
    </row>
    <row r="194" spans="1:12" x14ac:dyDescent="0.25">
      <c r="A194" t="s">
        <v>79</v>
      </c>
      <c r="B194">
        <v>19</v>
      </c>
      <c r="C194" t="s">
        <v>437</v>
      </c>
      <c r="D194">
        <v>60</v>
      </c>
      <c r="E194" t="s">
        <v>22</v>
      </c>
      <c r="G194" t="s">
        <v>232</v>
      </c>
      <c r="H194" t="s">
        <v>59</v>
      </c>
      <c r="I194">
        <v>19</v>
      </c>
      <c r="J194" t="s">
        <v>232</v>
      </c>
      <c r="K194">
        <v>60</v>
      </c>
      <c r="L194" t="s">
        <v>22</v>
      </c>
    </row>
    <row r="195" spans="1:12" x14ac:dyDescent="0.25">
      <c r="A195" t="s">
        <v>82</v>
      </c>
      <c r="B195">
        <v>1</v>
      </c>
      <c r="C195" t="s">
        <v>453</v>
      </c>
      <c r="D195">
        <v>30</v>
      </c>
      <c r="E195" t="s">
        <v>21</v>
      </c>
      <c r="G195" t="s">
        <v>233</v>
      </c>
      <c r="H195" t="s">
        <v>59</v>
      </c>
      <c r="I195">
        <v>20</v>
      </c>
      <c r="J195" t="s">
        <v>233</v>
      </c>
      <c r="K195">
        <v>60</v>
      </c>
      <c r="L195" t="s">
        <v>22</v>
      </c>
    </row>
    <row r="196" spans="1:12" x14ac:dyDescent="0.25">
      <c r="A196" t="s">
        <v>82</v>
      </c>
      <c r="B196">
        <v>2</v>
      </c>
      <c r="C196" t="s">
        <v>454</v>
      </c>
      <c r="D196">
        <v>30</v>
      </c>
      <c r="E196" t="s">
        <v>22</v>
      </c>
      <c r="G196" t="s">
        <v>241</v>
      </c>
      <c r="H196" t="s">
        <v>60</v>
      </c>
      <c r="I196">
        <v>7</v>
      </c>
      <c r="J196" t="s">
        <v>241</v>
      </c>
      <c r="K196">
        <v>60</v>
      </c>
      <c r="L196" t="s">
        <v>22</v>
      </c>
    </row>
    <row r="197" spans="1:12" x14ac:dyDescent="0.25">
      <c r="A197" t="s">
        <v>82</v>
      </c>
      <c r="B197">
        <v>3</v>
      </c>
      <c r="C197" t="s">
        <v>455</v>
      </c>
      <c r="D197">
        <v>30</v>
      </c>
      <c r="E197" t="s">
        <v>22</v>
      </c>
      <c r="G197" t="s">
        <v>242</v>
      </c>
      <c r="H197" t="s">
        <v>60</v>
      </c>
      <c r="I197">
        <v>8</v>
      </c>
      <c r="J197" t="s">
        <v>242</v>
      </c>
      <c r="K197">
        <v>60</v>
      </c>
      <c r="L197" t="s">
        <v>22</v>
      </c>
    </row>
    <row r="198" spans="1:12" x14ac:dyDescent="0.25">
      <c r="A198" t="s">
        <v>82</v>
      </c>
      <c r="B198">
        <v>4</v>
      </c>
      <c r="C198" t="s">
        <v>456</v>
      </c>
      <c r="D198">
        <v>30</v>
      </c>
      <c r="E198" t="s">
        <v>22</v>
      </c>
      <c r="G198" t="s">
        <v>243</v>
      </c>
      <c r="H198" t="s">
        <v>60</v>
      </c>
      <c r="I198">
        <v>12</v>
      </c>
      <c r="J198" t="s">
        <v>243</v>
      </c>
      <c r="K198">
        <v>60</v>
      </c>
      <c r="L198" t="s">
        <v>22</v>
      </c>
    </row>
    <row r="199" spans="1:12" x14ac:dyDescent="0.25">
      <c r="A199" t="s">
        <v>82</v>
      </c>
      <c r="B199">
        <v>5</v>
      </c>
      <c r="C199" t="s">
        <v>457</v>
      </c>
      <c r="D199">
        <v>30</v>
      </c>
      <c r="E199" t="s">
        <v>22</v>
      </c>
      <c r="G199" t="s">
        <v>244</v>
      </c>
      <c r="H199" t="s">
        <v>60</v>
      </c>
      <c r="I199">
        <v>15</v>
      </c>
      <c r="J199" t="s">
        <v>244</v>
      </c>
      <c r="K199">
        <v>60</v>
      </c>
      <c r="L199" t="s">
        <v>22</v>
      </c>
    </row>
    <row r="200" spans="1:12" x14ac:dyDescent="0.25">
      <c r="A200" t="s">
        <v>82</v>
      </c>
      <c r="B200">
        <v>7</v>
      </c>
      <c r="C200" t="s">
        <v>458</v>
      </c>
      <c r="D200">
        <v>30</v>
      </c>
      <c r="E200" t="s">
        <v>21</v>
      </c>
      <c r="G200" t="s">
        <v>245</v>
      </c>
      <c r="H200" t="s">
        <v>60</v>
      </c>
      <c r="I200">
        <v>18</v>
      </c>
      <c r="J200" t="s">
        <v>245</v>
      </c>
      <c r="K200">
        <v>60</v>
      </c>
      <c r="L200" t="s">
        <v>22</v>
      </c>
    </row>
    <row r="201" spans="1:12" x14ac:dyDescent="0.25">
      <c r="A201" t="s">
        <v>82</v>
      </c>
      <c r="B201">
        <v>14</v>
      </c>
      <c r="C201" t="s">
        <v>459</v>
      </c>
      <c r="D201">
        <v>60</v>
      </c>
      <c r="E201" t="s">
        <v>22</v>
      </c>
      <c r="G201" t="s">
        <v>256</v>
      </c>
      <c r="H201" t="s">
        <v>65</v>
      </c>
      <c r="I201">
        <v>23</v>
      </c>
      <c r="J201" t="s">
        <v>256</v>
      </c>
      <c r="K201">
        <v>60</v>
      </c>
      <c r="L201" t="s">
        <v>22</v>
      </c>
    </row>
    <row r="202" spans="1:12" x14ac:dyDescent="0.25">
      <c r="A202" t="s">
        <v>83</v>
      </c>
      <c r="B202">
        <v>1</v>
      </c>
      <c r="C202" t="s">
        <v>453</v>
      </c>
      <c r="D202">
        <v>30</v>
      </c>
      <c r="E202" t="s">
        <v>21</v>
      </c>
      <c r="G202" t="s">
        <v>267</v>
      </c>
      <c r="H202" t="s">
        <v>65</v>
      </c>
      <c r="I202">
        <v>34</v>
      </c>
      <c r="J202" t="s">
        <v>267</v>
      </c>
      <c r="K202">
        <v>60</v>
      </c>
      <c r="L202" t="s">
        <v>22</v>
      </c>
    </row>
    <row r="203" spans="1:12" x14ac:dyDescent="0.25">
      <c r="A203" t="s">
        <v>83</v>
      </c>
      <c r="B203">
        <v>2</v>
      </c>
      <c r="C203" t="s">
        <v>454</v>
      </c>
      <c r="D203">
        <v>30</v>
      </c>
      <c r="E203" t="s">
        <v>22</v>
      </c>
      <c r="G203" t="s">
        <v>257</v>
      </c>
      <c r="H203" t="s">
        <v>66</v>
      </c>
      <c r="I203">
        <v>24</v>
      </c>
      <c r="J203" t="s">
        <v>257</v>
      </c>
      <c r="K203">
        <v>60</v>
      </c>
      <c r="L203" t="s">
        <v>22</v>
      </c>
    </row>
    <row r="204" spans="1:12" x14ac:dyDescent="0.25">
      <c r="A204" t="s">
        <v>83</v>
      </c>
      <c r="B204">
        <v>3</v>
      </c>
      <c r="C204" t="s">
        <v>455</v>
      </c>
      <c r="D204">
        <v>30</v>
      </c>
      <c r="E204" t="s">
        <v>22</v>
      </c>
      <c r="G204" t="s">
        <v>258</v>
      </c>
      <c r="H204" t="s">
        <v>66</v>
      </c>
      <c r="I204">
        <v>25</v>
      </c>
      <c r="J204" t="s">
        <v>258</v>
      </c>
      <c r="K204">
        <v>60</v>
      </c>
      <c r="L204" t="s">
        <v>22</v>
      </c>
    </row>
    <row r="205" spans="1:12" x14ac:dyDescent="0.25">
      <c r="A205" t="s">
        <v>83</v>
      </c>
      <c r="B205">
        <v>4</v>
      </c>
      <c r="C205" t="s">
        <v>456</v>
      </c>
      <c r="D205">
        <v>30</v>
      </c>
      <c r="E205" t="s">
        <v>22</v>
      </c>
      <c r="G205" t="s">
        <v>259</v>
      </c>
      <c r="H205" t="s">
        <v>66</v>
      </c>
      <c r="I205">
        <v>26</v>
      </c>
      <c r="J205" t="s">
        <v>259</v>
      </c>
      <c r="K205">
        <v>60</v>
      </c>
      <c r="L205" t="s">
        <v>22</v>
      </c>
    </row>
    <row r="206" spans="1:12" x14ac:dyDescent="0.25">
      <c r="A206" t="s">
        <v>83</v>
      </c>
      <c r="B206">
        <v>5</v>
      </c>
      <c r="C206" t="s">
        <v>457</v>
      </c>
      <c r="D206">
        <v>30</v>
      </c>
      <c r="E206" t="s">
        <v>22</v>
      </c>
      <c r="G206" t="s">
        <v>260</v>
      </c>
      <c r="H206" t="s">
        <v>66</v>
      </c>
      <c r="I206">
        <v>27</v>
      </c>
      <c r="J206" t="s">
        <v>260</v>
      </c>
      <c r="K206">
        <v>60</v>
      </c>
      <c r="L206" t="s">
        <v>22</v>
      </c>
    </row>
    <row r="207" spans="1:12" x14ac:dyDescent="0.25">
      <c r="A207" t="s">
        <v>83</v>
      </c>
      <c r="B207">
        <v>7</v>
      </c>
      <c r="C207" t="s">
        <v>458</v>
      </c>
      <c r="D207">
        <v>30</v>
      </c>
      <c r="E207" t="s">
        <v>21</v>
      </c>
      <c r="G207" t="s">
        <v>244</v>
      </c>
      <c r="H207" t="s">
        <v>67</v>
      </c>
      <c r="I207">
        <v>15</v>
      </c>
      <c r="J207" t="s">
        <v>244</v>
      </c>
      <c r="K207">
        <v>60</v>
      </c>
      <c r="L207" t="s">
        <v>22</v>
      </c>
    </row>
    <row r="208" spans="1:12" x14ac:dyDescent="0.25">
      <c r="A208" t="s">
        <v>83</v>
      </c>
      <c r="B208">
        <v>14</v>
      </c>
      <c r="C208" t="s">
        <v>459</v>
      </c>
      <c r="D208">
        <v>60</v>
      </c>
      <c r="E208" t="s">
        <v>22</v>
      </c>
      <c r="G208" t="s">
        <v>255</v>
      </c>
      <c r="H208" t="s">
        <v>67</v>
      </c>
      <c r="I208">
        <v>22</v>
      </c>
      <c r="J208" t="s">
        <v>255</v>
      </c>
      <c r="K208">
        <v>60</v>
      </c>
      <c r="L208" t="s">
        <v>22</v>
      </c>
    </row>
    <row r="209" spans="1:12" x14ac:dyDescent="0.25">
      <c r="A209" t="s">
        <v>84</v>
      </c>
      <c r="B209">
        <v>1</v>
      </c>
      <c r="C209" t="s">
        <v>453</v>
      </c>
      <c r="D209">
        <v>30</v>
      </c>
      <c r="E209" t="s">
        <v>21</v>
      </c>
      <c r="G209" t="s">
        <v>256</v>
      </c>
      <c r="H209" t="s">
        <v>67</v>
      </c>
      <c r="I209">
        <v>23</v>
      </c>
      <c r="J209" t="s">
        <v>256</v>
      </c>
      <c r="K209">
        <v>60</v>
      </c>
      <c r="L209" t="s">
        <v>22</v>
      </c>
    </row>
    <row r="210" spans="1:12" x14ac:dyDescent="0.25">
      <c r="A210" t="s">
        <v>84</v>
      </c>
      <c r="B210">
        <v>2</v>
      </c>
      <c r="C210" t="s">
        <v>454</v>
      </c>
      <c r="D210">
        <v>30</v>
      </c>
      <c r="E210" t="s">
        <v>22</v>
      </c>
      <c r="G210" t="s">
        <v>241</v>
      </c>
      <c r="H210" t="s">
        <v>68</v>
      </c>
      <c r="I210">
        <v>7</v>
      </c>
      <c r="J210" t="s">
        <v>241</v>
      </c>
      <c r="K210">
        <v>60</v>
      </c>
      <c r="L210" t="s">
        <v>22</v>
      </c>
    </row>
    <row r="211" spans="1:12" x14ac:dyDescent="0.25">
      <c r="A211" t="s">
        <v>84</v>
      </c>
      <c r="B211">
        <v>3</v>
      </c>
      <c r="C211" t="s">
        <v>455</v>
      </c>
      <c r="D211">
        <v>30</v>
      </c>
      <c r="E211" t="s">
        <v>22</v>
      </c>
      <c r="G211" t="s">
        <v>261</v>
      </c>
      <c r="H211" t="s">
        <v>68</v>
      </c>
      <c r="I211">
        <v>28</v>
      </c>
      <c r="J211" t="s">
        <v>261</v>
      </c>
      <c r="K211">
        <v>60</v>
      </c>
      <c r="L211" t="s">
        <v>22</v>
      </c>
    </row>
    <row r="212" spans="1:12" x14ac:dyDescent="0.25">
      <c r="A212" t="s">
        <v>84</v>
      </c>
      <c r="B212">
        <v>4</v>
      </c>
      <c r="C212" t="s">
        <v>456</v>
      </c>
      <c r="D212">
        <v>30</v>
      </c>
      <c r="E212" t="s">
        <v>22</v>
      </c>
      <c r="G212" t="s">
        <v>262</v>
      </c>
      <c r="H212" t="s">
        <v>68</v>
      </c>
      <c r="I212">
        <v>29</v>
      </c>
      <c r="J212" t="s">
        <v>262</v>
      </c>
      <c r="K212">
        <v>60</v>
      </c>
      <c r="L212" t="s">
        <v>22</v>
      </c>
    </row>
    <row r="213" spans="1:12" x14ac:dyDescent="0.25">
      <c r="A213" t="s">
        <v>84</v>
      </c>
      <c r="B213">
        <v>5</v>
      </c>
      <c r="C213" t="s">
        <v>457</v>
      </c>
      <c r="D213">
        <v>30</v>
      </c>
      <c r="E213" t="s">
        <v>22</v>
      </c>
      <c r="G213" t="s">
        <v>286</v>
      </c>
      <c r="H213" t="s">
        <v>64</v>
      </c>
      <c r="I213">
        <v>10</v>
      </c>
      <c r="J213" t="s">
        <v>286</v>
      </c>
      <c r="K213">
        <v>60</v>
      </c>
      <c r="L213" t="s">
        <v>22</v>
      </c>
    </row>
    <row r="214" spans="1:12" x14ac:dyDescent="0.25">
      <c r="A214" t="s">
        <v>84</v>
      </c>
      <c r="B214">
        <v>7</v>
      </c>
      <c r="C214" t="s">
        <v>458</v>
      </c>
      <c r="D214">
        <v>30</v>
      </c>
      <c r="E214" t="s">
        <v>21</v>
      </c>
      <c r="G214" t="s">
        <v>287</v>
      </c>
      <c r="H214" t="s">
        <v>64</v>
      </c>
      <c r="I214">
        <v>12</v>
      </c>
      <c r="J214" t="s">
        <v>287</v>
      </c>
      <c r="K214">
        <v>60</v>
      </c>
      <c r="L214" t="s">
        <v>22</v>
      </c>
    </row>
    <row r="215" spans="1:12" x14ac:dyDescent="0.25">
      <c r="A215" t="s">
        <v>84</v>
      </c>
      <c r="B215">
        <v>9</v>
      </c>
      <c r="C215" t="s">
        <v>469</v>
      </c>
      <c r="D215">
        <v>30</v>
      </c>
      <c r="E215" t="s">
        <v>22</v>
      </c>
      <c r="G215" t="s">
        <v>288</v>
      </c>
      <c r="H215" t="s">
        <v>64</v>
      </c>
      <c r="I215">
        <v>16</v>
      </c>
      <c r="J215" t="s">
        <v>288</v>
      </c>
      <c r="K215">
        <v>60</v>
      </c>
      <c r="L215" t="s">
        <v>22</v>
      </c>
    </row>
    <row r="216" spans="1:12" x14ac:dyDescent="0.25">
      <c r="A216" t="s">
        <v>84</v>
      </c>
      <c r="B216">
        <v>10</v>
      </c>
      <c r="C216" t="s">
        <v>470</v>
      </c>
      <c r="D216">
        <v>30</v>
      </c>
      <c r="E216" t="s">
        <v>22</v>
      </c>
      <c r="G216" t="s">
        <v>289</v>
      </c>
      <c r="H216" t="s">
        <v>64</v>
      </c>
      <c r="I216">
        <v>17</v>
      </c>
      <c r="J216" t="s">
        <v>289</v>
      </c>
      <c r="K216">
        <v>60</v>
      </c>
      <c r="L216" t="s">
        <v>22</v>
      </c>
    </row>
    <row r="217" spans="1:12" x14ac:dyDescent="0.25">
      <c r="A217" t="s">
        <v>84</v>
      </c>
      <c r="B217">
        <v>14</v>
      </c>
      <c r="C217" t="s">
        <v>459</v>
      </c>
      <c r="D217">
        <v>60</v>
      </c>
      <c r="E217" t="s">
        <v>22</v>
      </c>
      <c r="G217" t="s">
        <v>290</v>
      </c>
      <c r="H217" t="s">
        <v>64</v>
      </c>
      <c r="I217">
        <v>18</v>
      </c>
      <c r="J217" t="s">
        <v>290</v>
      </c>
      <c r="K217">
        <v>60</v>
      </c>
      <c r="L217" t="s">
        <v>22</v>
      </c>
    </row>
    <row r="218" spans="1:12" x14ac:dyDescent="0.25">
      <c r="A218" t="s">
        <v>84</v>
      </c>
      <c r="B218">
        <v>15</v>
      </c>
      <c r="C218" t="s">
        <v>460</v>
      </c>
      <c r="D218">
        <v>60</v>
      </c>
      <c r="E218" t="s">
        <v>22</v>
      </c>
      <c r="G218" t="s">
        <v>291</v>
      </c>
      <c r="H218" t="s">
        <v>64</v>
      </c>
      <c r="I218">
        <v>19</v>
      </c>
      <c r="J218" t="s">
        <v>291</v>
      </c>
      <c r="K218">
        <v>60</v>
      </c>
      <c r="L218" t="s">
        <v>22</v>
      </c>
    </row>
    <row r="219" spans="1:12" x14ac:dyDescent="0.25">
      <c r="A219" t="s">
        <v>87</v>
      </c>
      <c r="B219">
        <v>1</v>
      </c>
      <c r="C219" t="s">
        <v>482</v>
      </c>
      <c r="D219">
        <v>30</v>
      </c>
      <c r="E219" t="s">
        <v>21</v>
      </c>
      <c r="G219" t="s">
        <v>292</v>
      </c>
      <c r="H219" t="s">
        <v>64</v>
      </c>
      <c r="I219">
        <v>20</v>
      </c>
      <c r="J219" t="s">
        <v>292</v>
      </c>
      <c r="K219">
        <v>60</v>
      </c>
      <c r="L219" t="s">
        <v>22</v>
      </c>
    </row>
    <row r="220" spans="1:12" x14ac:dyDescent="0.25">
      <c r="A220" t="s">
        <v>87</v>
      </c>
      <c r="B220">
        <v>2</v>
      </c>
      <c r="C220" t="s">
        <v>483</v>
      </c>
      <c r="D220">
        <v>30</v>
      </c>
      <c r="E220" t="s">
        <v>22</v>
      </c>
      <c r="G220" t="s">
        <v>293</v>
      </c>
      <c r="H220" t="s">
        <v>64</v>
      </c>
      <c r="I220">
        <v>21</v>
      </c>
      <c r="J220" t="s">
        <v>293</v>
      </c>
      <c r="K220">
        <v>60</v>
      </c>
      <c r="L220" t="s">
        <v>22</v>
      </c>
    </row>
    <row r="221" spans="1:12" x14ac:dyDescent="0.25">
      <c r="A221" t="s">
        <v>87</v>
      </c>
      <c r="B221">
        <v>3</v>
      </c>
      <c r="C221" t="s">
        <v>484</v>
      </c>
      <c r="D221">
        <v>30</v>
      </c>
      <c r="E221" t="s">
        <v>22</v>
      </c>
      <c r="G221" t="s">
        <v>310</v>
      </c>
      <c r="H221" t="s">
        <v>69</v>
      </c>
      <c r="I221">
        <v>4</v>
      </c>
      <c r="J221" t="s">
        <v>310</v>
      </c>
      <c r="K221">
        <v>30</v>
      </c>
      <c r="L221" t="s">
        <v>22</v>
      </c>
    </row>
    <row r="222" spans="1:12" x14ac:dyDescent="0.25">
      <c r="A222" t="s">
        <v>87</v>
      </c>
      <c r="B222">
        <v>4</v>
      </c>
      <c r="C222" t="s">
        <v>485</v>
      </c>
      <c r="D222">
        <v>30</v>
      </c>
      <c r="E222" t="s">
        <v>22</v>
      </c>
      <c r="G222" t="s">
        <v>311</v>
      </c>
      <c r="H222" t="s">
        <v>69</v>
      </c>
      <c r="I222">
        <v>5</v>
      </c>
      <c r="J222" t="s">
        <v>311</v>
      </c>
      <c r="K222">
        <v>30</v>
      </c>
      <c r="L222" t="s">
        <v>22</v>
      </c>
    </row>
    <row r="223" spans="1:12" x14ac:dyDescent="0.25">
      <c r="A223" t="s">
        <v>87</v>
      </c>
      <c r="B223">
        <v>5</v>
      </c>
      <c r="C223" t="s">
        <v>486</v>
      </c>
      <c r="D223">
        <v>30</v>
      </c>
      <c r="E223" t="s">
        <v>22</v>
      </c>
      <c r="G223" t="s">
        <v>312</v>
      </c>
      <c r="H223" t="s">
        <v>69</v>
      </c>
      <c r="I223">
        <v>6</v>
      </c>
      <c r="J223" t="s">
        <v>312</v>
      </c>
      <c r="K223">
        <v>30</v>
      </c>
      <c r="L223" t="s">
        <v>22</v>
      </c>
    </row>
    <row r="224" spans="1:12" x14ac:dyDescent="0.25">
      <c r="A224" t="s">
        <v>87</v>
      </c>
      <c r="B224">
        <v>7</v>
      </c>
      <c r="C224" t="s">
        <v>487</v>
      </c>
      <c r="D224">
        <v>30</v>
      </c>
      <c r="E224" t="s">
        <v>21</v>
      </c>
      <c r="G224" t="s">
        <v>313</v>
      </c>
      <c r="H224" t="s">
        <v>69</v>
      </c>
      <c r="I224">
        <v>7</v>
      </c>
      <c r="J224" t="s">
        <v>313</v>
      </c>
      <c r="K224">
        <v>30</v>
      </c>
      <c r="L224" t="s">
        <v>22</v>
      </c>
    </row>
    <row r="225" spans="1:12" x14ac:dyDescent="0.25">
      <c r="A225" t="s">
        <v>87</v>
      </c>
      <c r="B225">
        <v>11</v>
      </c>
      <c r="C225" t="s">
        <v>488</v>
      </c>
      <c r="D225">
        <v>60</v>
      </c>
      <c r="E225" t="s">
        <v>22</v>
      </c>
      <c r="G225" t="s">
        <v>314</v>
      </c>
      <c r="H225" t="s">
        <v>69</v>
      </c>
      <c r="I225">
        <v>8</v>
      </c>
      <c r="J225" t="s">
        <v>314</v>
      </c>
      <c r="K225">
        <v>30</v>
      </c>
      <c r="L225" t="s">
        <v>22</v>
      </c>
    </row>
    <row r="226" spans="1:12" x14ac:dyDescent="0.25">
      <c r="G226" t="s">
        <v>315</v>
      </c>
      <c r="H226" t="s">
        <v>69</v>
      </c>
      <c r="I226">
        <v>10</v>
      </c>
      <c r="J226" t="s">
        <v>315</v>
      </c>
      <c r="K226">
        <v>30</v>
      </c>
      <c r="L226" t="s">
        <v>22</v>
      </c>
    </row>
    <row r="227" spans="1:12" x14ac:dyDescent="0.25">
      <c r="G227" t="s">
        <v>316</v>
      </c>
      <c r="H227" t="s">
        <v>69</v>
      </c>
      <c r="I227">
        <v>11</v>
      </c>
      <c r="J227" t="s">
        <v>316</v>
      </c>
      <c r="K227">
        <v>30</v>
      </c>
      <c r="L227" t="s">
        <v>22</v>
      </c>
    </row>
    <row r="228" spans="1:12" x14ac:dyDescent="0.25">
      <c r="G228" t="s">
        <v>317</v>
      </c>
      <c r="H228" t="s">
        <v>69</v>
      </c>
      <c r="I228">
        <v>12</v>
      </c>
      <c r="J228" t="s">
        <v>317</v>
      </c>
      <c r="K228">
        <v>60</v>
      </c>
      <c r="L228" t="s">
        <v>22</v>
      </c>
    </row>
    <row r="229" spans="1:12" x14ac:dyDescent="0.25">
      <c r="G229" t="s">
        <v>318</v>
      </c>
      <c r="H229" t="s">
        <v>69</v>
      </c>
      <c r="I229">
        <v>13</v>
      </c>
      <c r="J229" t="s">
        <v>318</v>
      </c>
      <c r="K229">
        <v>60</v>
      </c>
      <c r="L229" t="s">
        <v>22</v>
      </c>
    </row>
    <row r="230" spans="1:12" x14ac:dyDescent="0.25">
      <c r="G230" t="s">
        <v>319</v>
      </c>
      <c r="H230" t="s">
        <v>69</v>
      </c>
      <c r="I230">
        <v>15</v>
      </c>
      <c r="J230" t="s">
        <v>319</v>
      </c>
      <c r="K230">
        <v>60</v>
      </c>
      <c r="L230" t="s">
        <v>22</v>
      </c>
    </row>
    <row r="231" spans="1:12" x14ac:dyDescent="0.25">
      <c r="G231" t="s">
        <v>320</v>
      </c>
      <c r="H231" t="s">
        <v>69</v>
      </c>
      <c r="I231">
        <v>16</v>
      </c>
      <c r="J231" t="s">
        <v>320</v>
      </c>
      <c r="K231">
        <v>60</v>
      </c>
      <c r="L231" t="s">
        <v>22</v>
      </c>
    </row>
    <row r="232" spans="1:12" x14ac:dyDescent="0.25">
      <c r="G232" t="s">
        <v>321</v>
      </c>
      <c r="H232" t="s">
        <v>69</v>
      </c>
      <c r="I232">
        <v>17</v>
      </c>
      <c r="J232" t="s">
        <v>321</v>
      </c>
      <c r="K232">
        <v>30</v>
      </c>
      <c r="L232" t="s">
        <v>22</v>
      </c>
    </row>
    <row r="233" spans="1:12" x14ac:dyDescent="0.25">
      <c r="G233" t="s">
        <v>322</v>
      </c>
      <c r="H233" t="s">
        <v>69</v>
      </c>
      <c r="I233">
        <v>19</v>
      </c>
      <c r="J233" t="s">
        <v>322</v>
      </c>
      <c r="K233">
        <v>60</v>
      </c>
      <c r="L233" t="s">
        <v>22</v>
      </c>
    </row>
    <row r="234" spans="1:12" x14ac:dyDescent="0.25">
      <c r="G234" t="s">
        <v>323</v>
      </c>
      <c r="H234" t="s">
        <v>69</v>
      </c>
      <c r="I234">
        <v>20</v>
      </c>
      <c r="J234" t="s">
        <v>323</v>
      </c>
      <c r="K234">
        <v>60</v>
      </c>
      <c r="L234" t="s">
        <v>22</v>
      </c>
    </row>
    <row r="235" spans="1:12" x14ac:dyDescent="0.25">
      <c r="G235" t="s">
        <v>324</v>
      </c>
      <c r="H235" t="s">
        <v>69</v>
      </c>
      <c r="I235">
        <v>21</v>
      </c>
      <c r="J235" t="s">
        <v>324</v>
      </c>
      <c r="K235">
        <v>60</v>
      </c>
      <c r="L235" t="s">
        <v>22</v>
      </c>
    </row>
    <row r="236" spans="1:12" x14ac:dyDescent="0.25">
      <c r="G236" t="s">
        <v>325</v>
      </c>
      <c r="H236" t="s">
        <v>69</v>
      </c>
      <c r="I236">
        <v>22</v>
      </c>
      <c r="J236" t="s">
        <v>325</v>
      </c>
      <c r="K236">
        <v>60</v>
      </c>
      <c r="L236" t="s">
        <v>22</v>
      </c>
    </row>
    <row r="237" spans="1:12" x14ac:dyDescent="0.25">
      <c r="G237" t="s">
        <v>326</v>
      </c>
      <c r="H237" t="s">
        <v>69</v>
      </c>
      <c r="I237">
        <v>23</v>
      </c>
      <c r="J237" t="s">
        <v>326</v>
      </c>
      <c r="K237">
        <v>30</v>
      </c>
      <c r="L237" t="s">
        <v>22</v>
      </c>
    </row>
    <row r="238" spans="1:12" x14ac:dyDescent="0.25">
      <c r="G238" t="s">
        <v>333</v>
      </c>
      <c r="H238" t="s">
        <v>70</v>
      </c>
      <c r="I238">
        <v>10</v>
      </c>
      <c r="J238" t="s">
        <v>333</v>
      </c>
      <c r="K238">
        <v>60</v>
      </c>
      <c r="L238" t="s">
        <v>22</v>
      </c>
    </row>
    <row r="239" spans="1:12" x14ac:dyDescent="0.25">
      <c r="G239" t="s">
        <v>334</v>
      </c>
      <c r="H239" t="s">
        <v>70</v>
      </c>
      <c r="I239">
        <v>11</v>
      </c>
      <c r="J239" t="s">
        <v>334</v>
      </c>
      <c r="K239">
        <v>60</v>
      </c>
      <c r="L239" t="s">
        <v>22</v>
      </c>
    </row>
    <row r="240" spans="1:12" x14ac:dyDescent="0.25">
      <c r="G240" t="s">
        <v>335</v>
      </c>
      <c r="H240" t="s">
        <v>70</v>
      </c>
      <c r="I240">
        <v>12</v>
      </c>
      <c r="J240" t="s">
        <v>335</v>
      </c>
      <c r="K240">
        <v>60</v>
      </c>
      <c r="L240" t="s">
        <v>22</v>
      </c>
    </row>
    <row r="241" spans="7:12" x14ac:dyDescent="0.25">
      <c r="G241" t="s">
        <v>336</v>
      </c>
      <c r="H241" t="s">
        <v>70</v>
      </c>
      <c r="I241">
        <v>13</v>
      </c>
      <c r="J241" t="s">
        <v>336</v>
      </c>
      <c r="K241">
        <v>60</v>
      </c>
      <c r="L241" t="s">
        <v>22</v>
      </c>
    </row>
    <row r="242" spans="7:12" x14ac:dyDescent="0.25">
      <c r="G242" t="s">
        <v>337</v>
      </c>
      <c r="H242" t="s">
        <v>70</v>
      </c>
      <c r="I242">
        <v>14</v>
      </c>
      <c r="J242" t="s">
        <v>337</v>
      </c>
      <c r="K242">
        <v>60</v>
      </c>
      <c r="L242" t="s">
        <v>22</v>
      </c>
    </row>
    <row r="243" spans="7:12" x14ac:dyDescent="0.25">
      <c r="G243" t="s">
        <v>338</v>
      </c>
      <c r="H243" t="s">
        <v>70</v>
      </c>
      <c r="I243">
        <v>15</v>
      </c>
      <c r="J243" t="s">
        <v>338</v>
      </c>
      <c r="K243">
        <v>60</v>
      </c>
      <c r="L243" t="s">
        <v>22</v>
      </c>
    </row>
    <row r="244" spans="7:12" x14ac:dyDescent="0.25">
      <c r="G244" t="s">
        <v>339</v>
      </c>
      <c r="H244" t="s">
        <v>70</v>
      </c>
      <c r="I244">
        <v>16</v>
      </c>
      <c r="J244" t="s">
        <v>339</v>
      </c>
      <c r="K244">
        <v>60</v>
      </c>
      <c r="L244" t="s">
        <v>22</v>
      </c>
    </row>
    <row r="245" spans="7:12" x14ac:dyDescent="0.25">
      <c r="G245" t="s">
        <v>340</v>
      </c>
      <c r="H245" t="s">
        <v>70</v>
      </c>
      <c r="I245">
        <v>21</v>
      </c>
      <c r="J245" t="s">
        <v>340</v>
      </c>
      <c r="K245">
        <v>60</v>
      </c>
      <c r="L245" t="s">
        <v>22</v>
      </c>
    </row>
    <row r="246" spans="7:12" x14ac:dyDescent="0.25">
      <c r="G246" t="s">
        <v>341</v>
      </c>
      <c r="H246" t="s">
        <v>70</v>
      </c>
      <c r="I246">
        <v>22</v>
      </c>
      <c r="J246" t="s">
        <v>341</v>
      </c>
      <c r="K246">
        <v>60</v>
      </c>
      <c r="L246" t="s">
        <v>22</v>
      </c>
    </row>
    <row r="247" spans="7:12" x14ac:dyDescent="0.25">
      <c r="G247" t="s">
        <v>342</v>
      </c>
      <c r="H247" t="s">
        <v>70</v>
      </c>
      <c r="I247">
        <v>23</v>
      </c>
      <c r="J247" t="s">
        <v>342</v>
      </c>
      <c r="K247">
        <v>60</v>
      </c>
      <c r="L247" t="s">
        <v>22</v>
      </c>
    </row>
    <row r="248" spans="7:12" x14ac:dyDescent="0.25">
      <c r="G248" t="s">
        <v>343</v>
      </c>
      <c r="H248" t="s">
        <v>70</v>
      </c>
      <c r="I248">
        <v>24</v>
      </c>
      <c r="J248" t="s">
        <v>343</v>
      </c>
      <c r="K248">
        <v>60</v>
      </c>
      <c r="L248" t="s">
        <v>22</v>
      </c>
    </row>
    <row r="249" spans="7:12" x14ac:dyDescent="0.25">
      <c r="G249" t="s">
        <v>344</v>
      </c>
      <c r="H249" t="s">
        <v>71</v>
      </c>
      <c r="I249">
        <v>4</v>
      </c>
      <c r="J249" t="s">
        <v>344</v>
      </c>
      <c r="K249">
        <v>30</v>
      </c>
      <c r="L249" t="s">
        <v>22</v>
      </c>
    </row>
    <row r="250" spans="7:12" x14ac:dyDescent="0.25">
      <c r="G250" t="s">
        <v>345</v>
      </c>
      <c r="H250" t="s">
        <v>71</v>
      </c>
      <c r="I250">
        <v>5</v>
      </c>
      <c r="J250" t="s">
        <v>345</v>
      </c>
      <c r="K250">
        <v>30</v>
      </c>
      <c r="L250" t="s">
        <v>22</v>
      </c>
    </row>
    <row r="251" spans="7:12" x14ac:dyDescent="0.25">
      <c r="G251" t="s">
        <v>346</v>
      </c>
      <c r="H251" t="s">
        <v>71</v>
      </c>
      <c r="I251">
        <v>6</v>
      </c>
      <c r="J251" t="s">
        <v>346</v>
      </c>
      <c r="K251">
        <v>30</v>
      </c>
      <c r="L251" t="s">
        <v>22</v>
      </c>
    </row>
    <row r="252" spans="7:12" x14ac:dyDescent="0.25">
      <c r="G252" t="s">
        <v>347</v>
      </c>
      <c r="H252" t="s">
        <v>71</v>
      </c>
      <c r="I252">
        <v>7</v>
      </c>
      <c r="J252" t="s">
        <v>347</v>
      </c>
      <c r="K252">
        <v>30</v>
      </c>
      <c r="L252" t="s">
        <v>22</v>
      </c>
    </row>
    <row r="253" spans="7:12" x14ac:dyDescent="0.25">
      <c r="G253" t="s">
        <v>348</v>
      </c>
      <c r="H253" t="s">
        <v>71</v>
      </c>
      <c r="I253">
        <v>8</v>
      </c>
      <c r="J253" t="s">
        <v>348</v>
      </c>
      <c r="K253">
        <v>30</v>
      </c>
      <c r="L253" t="s">
        <v>22</v>
      </c>
    </row>
    <row r="254" spans="7:12" x14ac:dyDescent="0.25">
      <c r="G254" t="s">
        <v>349</v>
      </c>
      <c r="H254" t="s">
        <v>71</v>
      </c>
      <c r="I254">
        <v>9</v>
      </c>
      <c r="J254" t="s">
        <v>349</v>
      </c>
      <c r="K254">
        <v>30</v>
      </c>
      <c r="L254" t="s">
        <v>22</v>
      </c>
    </row>
    <row r="255" spans="7:12" x14ac:dyDescent="0.25">
      <c r="G255" t="s">
        <v>333</v>
      </c>
      <c r="H255" t="s">
        <v>71</v>
      </c>
      <c r="I255">
        <v>10</v>
      </c>
      <c r="J255" t="s">
        <v>333</v>
      </c>
      <c r="K255">
        <v>60</v>
      </c>
      <c r="L255" t="s">
        <v>22</v>
      </c>
    </row>
    <row r="256" spans="7:12" x14ac:dyDescent="0.25">
      <c r="G256" t="s">
        <v>334</v>
      </c>
      <c r="H256" t="s">
        <v>71</v>
      </c>
      <c r="I256">
        <v>11</v>
      </c>
      <c r="J256" t="s">
        <v>334</v>
      </c>
      <c r="K256">
        <v>60</v>
      </c>
      <c r="L256" t="s">
        <v>22</v>
      </c>
    </row>
    <row r="257" spans="7:12" x14ac:dyDescent="0.25">
      <c r="G257" t="s">
        <v>336</v>
      </c>
      <c r="H257" t="s">
        <v>71</v>
      </c>
      <c r="I257">
        <v>13</v>
      </c>
      <c r="J257" t="s">
        <v>336</v>
      </c>
      <c r="K257">
        <v>60</v>
      </c>
      <c r="L257" t="s">
        <v>22</v>
      </c>
    </row>
    <row r="258" spans="7:12" x14ac:dyDescent="0.25">
      <c r="G258" t="s">
        <v>337</v>
      </c>
      <c r="H258" t="s">
        <v>71</v>
      </c>
      <c r="I258">
        <v>14</v>
      </c>
      <c r="J258" t="s">
        <v>337</v>
      </c>
      <c r="K258">
        <v>60</v>
      </c>
      <c r="L258" t="s">
        <v>22</v>
      </c>
    </row>
    <row r="259" spans="7:12" x14ac:dyDescent="0.25">
      <c r="G259" t="s">
        <v>338</v>
      </c>
      <c r="H259" t="s">
        <v>71</v>
      </c>
      <c r="I259">
        <v>15</v>
      </c>
      <c r="J259" t="s">
        <v>338</v>
      </c>
      <c r="K259">
        <v>60</v>
      </c>
      <c r="L259" t="s">
        <v>22</v>
      </c>
    </row>
    <row r="260" spans="7:12" x14ac:dyDescent="0.25">
      <c r="G260" t="s">
        <v>339</v>
      </c>
      <c r="H260" t="s">
        <v>71</v>
      </c>
      <c r="I260">
        <v>16</v>
      </c>
      <c r="J260" t="s">
        <v>339</v>
      </c>
      <c r="K260">
        <v>60</v>
      </c>
      <c r="L260" t="s">
        <v>22</v>
      </c>
    </row>
    <row r="261" spans="7:12" x14ac:dyDescent="0.25">
      <c r="G261" t="s">
        <v>350</v>
      </c>
      <c r="H261" t="s">
        <v>71</v>
      </c>
      <c r="I261">
        <v>20</v>
      </c>
      <c r="J261" t="s">
        <v>350</v>
      </c>
      <c r="K261">
        <v>30</v>
      </c>
      <c r="L261" t="s">
        <v>22</v>
      </c>
    </row>
    <row r="262" spans="7:12" x14ac:dyDescent="0.25">
      <c r="G262" t="s">
        <v>340</v>
      </c>
      <c r="H262" t="s">
        <v>71</v>
      </c>
      <c r="I262">
        <v>21</v>
      </c>
      <c r="J262" t="s">
        <v>340</v>
      </c>
      <c r="K262">
        <v>60</v>
      </c>
      <c r="L262" t="s">
        <v>22</v>
      </c>
    </row>
    <row r="263" spans="7:12" x14ac:dyDescent="0.25">
      <c r="G263" t="s">
        <v>342</v>
      </c>
      <c r="H263" t="s">
        <v>71</v>
      </c>
      <c r="I263">
        <v>23</v>
      </c>
      <c r="J263" t="s">
        <v>342</v>
      </c>
      <c r="K263">
        <v>60</v>
      </c>
      <c r="L263" t="s">
        <v>22</v>
      </c>
    </row>
    <row r="264" spans="7:12" x14ac:dyDescent="0.25">
      <c r="G264" t="s">
        <v>351</v>
      </c>
      <c r="H264" t="s">
        <v>71</v>
      </c>
      <c r="I264">
        <v>25</v>
      </c>
      <c r="J264" t="s">
        <v>351</v>
      </c>
      <c r="K264">
        <v>30</v>
      </c>
      <c r="L264" t="s">
        <v>22</v>
      </c>
    </row>
    <row r="265" spans="7:12" x14ac:dyDescent="0.25">
      <c r="G265" t="s">
        <v>344</v>
      </c>
      <c r="H265" t="s">
        <v>72</v>
      </c>
      <c r="I265">
        <v>4</v>
      </c>
      <c r="J265" t="s">
        <v>344</v>
      </c>
      <c r="K265">
        <v>30</v>
      </c>
      <c r="L265" t="s">
        <v>22</v>
      </c>
    </row>
    <row r="266" spans="7:12" x14ac:dyDescent="0.25">
      <c r="G266" t="s">
        <v>345</v>
      </c>
      <c r="H266" t="s">
        <v>72</v>
      </c>
      <c r="I266">
        <v>5</v>
      </c>
      <c r="J266" t="s">
        <v>345</v>
      </c>
      <c r="K266">
        <v>30</v>
      </c>
      <c r="L266" t="s">
        <v>22</v>
      </c>
    </row>
    <row r="267" spans="7:12" x14ac:dyDescent="0.25">
      <c r="G267" t="s">
        <v>346</v>
      </c>
      <c r="H267" t="s">
        <v>72</v>
      </c>
      <c r="I267">
        <v>6</v>
      </c>
      <c r="J267" t="s">
        <v>346</v>
      </c>
      <c r="K267">
        <v>30</v>
      </c>
      <c r="L267" t="s">
        <v>22</v>
      </c>
    </row>
    <row r="268" spans="7:12" x14ac:dyDescent="0.25">
      <c r="G268" t="s">
        <v>347</v>
      </c>
      <c r="H268" t="s">
        <v>72</v>
      </c>
      <c r="I268">
        <v>7</v>
      </c>
      <c r="J268" t="s">
        <v>347</v>
      </c>
      <c r="K268">
        <v>30</v>
      </c>
      <c r="L268" t="s">
        <v>22</v>
      </c>
    </row>
    <row r="269" spans="7:12" x14ac:dyDescent="0.25">
      <c r="G269" t="s">
        <v>348</v>
      </c>
      <c r="H269" t="s">
        <v>72</v>
      </c>
      <c r="I269">
        <v>8</v>
      </c>
      <c r="J269" t="s">
        <v>348</v>
      </c>
      <c r="K269">
        <v>30</v>
      </c>
      <c r="L269" t="s">
        <v>22</v>
      </c>
    </row>
    <row r="270" spans="7:12" x14ac:dyDescent="0.25">
      <c r="G270" t="s">
        <v>349</v>
      </c>
      <c r="H270" t="s">
        <v>72</v>
      </c>
      <c r="I270">
        <v>9</v>
      </c>
      <c r="J270" t="s">
        <v>349</v>
      </c>
      <c r="K270">
        <v>30</v>
      </c>
      <c r="L270" t="s">
        <v>22</v>
      </c>
    </row>
    <row r="271" spans="7:12" x14ac:dyDescent="0.25">
      <c r="G271" t="s">
        <v>333</v>
      </c>
      <c r="H271" t="s">
        <v>72</v>
      </c>
      <c r="I271">
        <v>10</v>
      </c>
      <c r="J271" t="s">
        <v>333</v>
      </c>
      <c r="K271">
        <v>60</v>
      </c>
      <c r="L271" t="s">
        <v>22</v>
      </c>
    </row>
    <row r="272" spans="7:12" x14ac:dyDescent="0.25">
      <c r="G272" t="s">
        <v>335</v>
      </c>
      <c r="H272" t="s">
        <v>72</v>
      </c>
      <c r="I272">
        <v>12</v>
      </c>
      <c r="J272" t="s">
        <v>335</v>
      </c>
      <c r="K272">
        <v>60</v>
      </c>
      <c r="L272" t="s">
        <v>22</v>
      </c>
    </row>
    <row r="273" spans="7:12" x14ac:dyDescent="0.25">
      <c r="G273" t="s">
        <v>336</v>
      </c>
      <c r="H273" t="s">
        <v>72</v>
      </c>
      <c r="I273">
        <v>13</v>
      </c>
      <c r="J273" t="s">
        <v>336</v>
      </c>
      <c r="K273">
        <v>60</v>
      </c>
      <c r="L273" t="s">
        <v>22</v>
      </c>
    </row>
    <row r="274" spans="7:12" x14ac:dyDescent="0.25">
      <c r="G274" t="s">
        <v>337</v>
      </c>
      <c r="H274" t="s">
        <v>72</v>
      </c>
      <c r="I274">
        <v>14</v>
      </c>
      <c r="J274" t="s">
        <v>337</v>
      </c>
      <c r="K274">
        <v>60</v>
      </c>
      <c r="L274" t="s">
        <v>22</v>
      </c>
    </row>
    <row r="275" spans="7:12" x14ac:dyDescent="0.25">
      <c r="G275" t="s">
        <v>338</v>
      </c>
      <c r="H275" t="s">
        <v>72</v>
      </c>
      <c r="I275">
        <v>15</v>
      </c>
      <c r="J275" t="s">
        <v>338</v>
      </c>
      <c r="K275">
        <v>60</v>
      </c>
      <c r="L275" t="s">
        <v>22</v>
      </c>
    </row>
    <row r="276" spans="7:12" x14ac:dyDescent="0.25">
      <c r="G276" t="s">
        <v>339</v>
      </c>
      <c r="H276" t="s">
        <v>72</v>
      </c>
      <c r="I276">
        <v>16</v>
      </c>
      <c r="J276" t="s">
        <v>339</v>
      </c>
      <c r="K276">
        <v>60</v>
      </c>
      <c r="L276" t="s">
        <v>22</v>
      </c>
    </row>
    <row r="277" spans="7:12" x14ac:dyDescent="0.25">
      <c r="G277" t="s">
        <v>350</v>
      </c>
      <c r="H277" t="s">
        <v>72</v>
      </c>
      <c r="I277">
        <v>20</v>
      </c>
      <c r="J277" t="s">
        <v>350</v>
      </c>
      <c r="K277">
        <v>30</v>
      </c>
      <c r="L277" t="s">
        <v>22</v>
      </c>
    </row>
    <row r="278" spans="7:12" x14ac:dyDescent="0.25">
      <c r="G278" t="s">
        <v>340</v>
      </c>
      <c r="H278" t="s">
        <v>72</v>
      </c>
      <c r="I278">
        <v>21</v>
      </c>
      <c r="J278" t="s">
        <v>340</v>
      </c>
      <c r="K278">
        <v>60</v>
      </c>
      <c r="L278" t="s">
        <v>22</v>
      </c>
    </row>
    <row r="279" spans="7:12" x14ac:dyDescent="0.25">
      <c r="G279" t="s">
        <v>342</v>
      </c>
      <c r="H279" t="s">
        <v>72</v>
      </c>
      <c r="I279">
        <v>23</v>
      </c>
      <c r="J279" t="s">
        <v>342</v>
      </c>
      <c r="K279">
        <v>60</v>
      </c>
      <c r="L279" t="s">
        <v>22</v>
      </c>
    </row>
    <row r="280" spans="7:12" x14ac:dyDescent="0.25">
      <c r="G280" t="s">
        <v>351</v>
      </c>
      <c r="H280" t="s">
        <v>72</v>
      </c>
      <c r="I280">
        <v>25</v>
      </c>
      <c r="J280" t="s">
        <v>351</v>
      </c>
      <c r="K280">
        <v>30</v>
      </c>
      <c r="L280" t="s">
        <v>22</v>
      </c>
    </row>
    <row r="281" spans="7:12" x14ac:dyDescent="0.25">
      <c r="G281" t="s">
        <v>362</v>
      </c>
      <c r="H281" t="s">
        <v>73</v>
      </c>
      <c r="I281">
        <v>3</v>
      </c>
      <c r="J281" t="s">
        <v>362</v>
      </c>
      <c r="K281">
        <v>30</v>
      </c>
      <c r="L281" t="s">
        <v>22</v>
      </c>
    </row>
    <row r="282" spans="7:12" x14ac:dyDescent="0.25">
      <c r="G282" t="s">
        <v>363</v>
      </c>
      <c r="H282" t="s">
        <v>73</v>
      </c>
      <c r="I282">
        <v>4</v>
      </c>
      <c r="J282" t="s">
        <v>363</v>
      </c>
      <c r="K282">
        <v>30</v>
      </c>
      <c r="L282" t="s">
        <v>22</v>
      </c>
    </row>
    <row r="283" spans="7:12" x14ac:dyDescent="0.25">
      <c r="G283" t="s">
        <v>364</v>
      </c>
      <c r="H283" t="s">
        <v>73</v>
      </c>
      <c r="I283">
        <v>5</v>
      </c>
      <c r="J283" t="s">
        <v>364</v>
      </c>
      <c r="K283">
        <v>30</v>
      </c>
      <c r="L283" t="s">
        <v>22</v>
      </c>
    </row>
    <row r="284" spans="7:12" x14ac:dyDescent="0.25">
      <c r="G284" t="s">
        <v>365</v>
      </c>
      <c r="H284" t="s">
        <v>73</v>
      </c>
      <c r="I284">
        <v>6</v>
      </c>
      <c r="J284" t="s">
        <v>365</v>
      </c>
      <c r="K284">
        <v>30</v>
      </c>
      <c r="L284" t="s">
        <v>22</v>
      </c>
    </row>
    <row r="285" spans="7:12" x14ac:dyDescent="0.25">
      <c r="G285" t="s">
        <v>366</v>
      </c>
      <c r="H285" t="s">
        <v>73</v>
      </c>
      <c r="I285">
        <v>7</v>
      </c>
      <c r="J285" t="s">
        <v>366</v>
      </c>
      <c r="K285">
        <v>30</v>
      </c>
      <c r="L285" t="s">
        <v>22</v>
      </c>
    </row>
    <row r="286" spans="7:12" x14ac:dyDescent="0.25">
      <c r="G286" t="s">
        <v>367</v>
      </c>
      <c r="H286" t="s">
        <v>73</v>
      </c>
      <c r="I286">
        <v>9</v>
      </c>
      <c r="J286" t="s">
        <v>367</v>
      </c>
      <c r="K286">
        <v>30</v>
      </c>
      <c r="L286" t="s">
        <v>22</v>
      </c>
    </row>
    <row r="287" spans="7:12" x14ac:dyDescent="0.25">
      <c r="G287" t="s">
        <v>368</v>
      </c>
      <c r="H287" t="s">
        <v>73</v>
      </c>
      <c r="I287">
        <v>10</v>
      </c>
      <c r="J287" t="s">
        <v>368</v>
      </c>
      <c r="K287">
        <v>30</v>
      </c>
      <c r="L287" t="s">
        <v>22</v>
      </c>
    </row>
    <row r="288" spans="7:12" x14ac:dyDescent="0.25">
      <c r="G288" t="s">
        <v>369</v>
      </c>
      <c r="H288" t="s">
        <v>73</v>
      </c>
      <c r="I288">
        <v>11</v>
      </c>
      <c r="J288" t="s">
        <v>369</v>
      </c>
      <c r="K288">
        <v>60</v>
      </c>
      <c r="L288" t="s">
        <v>22</v>
      </c>
    </row>
    <row r="289" spans="7:12" x14ac:dyDescent="0.25">
      <c r="G289" t="s">
        <v>370</v>
      </c>
      <c r="H289" t="s">
        <v>73</v>
      </c>
      <c r="I289">
        <v>12</v>
      </c>
      <c r="J289" t="s">
        <v>370</v>
      </c>
      <c r="K289">
        <v>60</v>
      </c>
      <c r="L289" t="s">
        <v>22</v>
      </c>
    </row>
    <row r="290" spans="7:12" x14ac:dyDescent="0.25">
      <c r="G290" t="s">
        <v>371</v>
      </c>
      <c r="H290" t="s">
        <v>73</v>
      </c>
      <c r="I290">
        <v>13</v>
      </c>
      <c r="J290" t="s">
        <v>371</v>
      </c>
      <c r="K290">
        <v>60</v>
      </c>
      <c r="L290" t="s">
        <v>22</v>
      </c>
    </row>
    <row r="291" spans="7:12" x14ac:dyDescent="0.25">
      <c r="G291" t="s">
        <v>372</v>
      </c>
      <c r="H291" t="s">
        <v>73</v>
      </c>
      <c r="I291">
        <v>14</v>
      </c>
      <c r="J291" t="s">
        <v>372</v>
      </c>
      <c r="K291">
        <v>60</v>
      </c>
      <c r="L291" t="s">
        <v>22</v>
      </c>
    </row>
    <row r="292" spans="7:12" x14ac:dyDescent="0.25">
      <c r="G292" t="s">
        <v>373</v>
      </c>
      <c r="H292" t="s">
        <v>73</v>
      </c>
      <c r="I292">
        <v>15</v>
      </c>
      <c r="J292" t="s">
        <v>373</v>
      </c>
      <c r="K292">
        <v>60</v>
      </c>
      <c r="L292" t="s">
        <v>22</v>
      </c>
    </row>
    <row r="293" spans="7:12" x14ac:dyDescent="0.25">
      <c r="G293" t="s">
        <v>374</v>
      </c>
      <c r="H293" t="s">
        <v>73</v>
      </c>
      <c r="I293">
        <v>18</v>
      </c>
      <c r="J293" t="s">
        <v>374</v>
      </c>
      <c r="K293">
        <v>60</v>
      </c>
      <c r="L293" t="s">
        <v>22</v>
      </c>
    </row>
    <row r="294" spans="7:12" x14ac:dyDescent="0.25">
      <c r="G294" t="s">
        <v>375</v>
      </c>
      <c r="H294" t="s">
        <v>73</v>
      </c>
      <c r="I294">
        <v>19</v>
      </c>
      <c r="J294" t="s">
        <v>375</v>
      </c>
      <c r="K294">
        <v>60</v>
      </c>
      <c r="L294" t="s">
        <v>22</v>
      </c>
    </row>
    <row r="295" spans="7:12" x14ac:dyDescent="0.25">
      <c r="G295" t="s">
        <v>376</v>
      </c>
      <c r="H295" t="s">
        <v>73</v>
      </c>
      <c r="I295">
        <v>20</v>
      </c>
      <c r="J295" t="s">
        <v>376</v>
      </c>
      <c r="K295">
        <v>60</v>
      </c>
      <c r="L295" t="s">
        <v>22</v>
      </c>
    </row>
    <row r="296" spans="7:12" x14ac:dyDescent="0.25">
      <c r="G296" t="s">
        <v>377</v>
      </c>
      <c r="H296" t="s">
        <v>73</v>
      </c>
      <c r="I296">
        <v>21</v>
      </c>
      <c r="J296" t="s">
        <v>377</v>
      </c>
      <c r="K296">
        <v>60</v>
      </c>
      <c r="L296" t="s">
        <v>22</v>
      </c>
    </row>
    <row r="297" spans="7:12" x14ac:dyDescent="0.25">
      <c r="G297" t="s">
        <v>378</v>
      </c>
      <c r="H297" t="s">
        <v>73</v>
      </c>
      <c r="I297">
        <v>22</v>
      </c>
      <c r="J297" t="s">
        <v>378</v>
      </c>
      <c r="K297">
        <v>60</v>
      </c>
      <c r="L297" t="s">
        <v>22</v>
      </c>
    </row>
    <row r="298" spans="7:12" x14ac:dyDescent="0.25">
      <c r="G298" t="s">
        <v>379</v>
      </c>
      <c r="H298" t="s">
        <v>73</v>
      </c>
      <c r="I298">
        <v>23</v>
      </c>
      <c r="J298" t="s">
        <v>379</v>
      </c>
      <c r="K298">
        <v>60</v>
      </c>
      <c r="L298" t="s">
        <v>22</v>
      </c>
    </row>
    <row r="299" spans="7:12" x14ac:dyDescent="0.25">
      <c r="G299" t="s">
        <v>380</v>
      </c>
      <c r="H299" t="s">
        <v>73</v>
      </c>
      <c r="I299">
        <v>24</v>
      </c>
      <c r="J299" t="s">
        <v>380</v>
      </c>
      <c r="K299">
        <v>60</v>
      </c>
      <c r="L299" t="s">
        <v>22</v>
      </c>
    </row>
    <row r="300" spans="7:12" x14ac:dyDescent="0.25">
      <c r="G300" t="s">
        <v>381</v>
      </c>
      <c r="H300" t="s">
        <v>73</v>
      </c>
      <c r="I300">
        <v>25</v>
      </c>
      <c r="J300" t="s">
        <v>381</v>
      </c>
      <c r="K300">
        <v>60</v>
      </c>
      <c r="L300" t="s">
        <v>22</v>
      </c>
    </row>
    <row r="301" spans="7:12" x14ac:dyDescent="0.25">
      <c r="G301" t="s">
        <v>382</v>
      </c>
      <c r="H301" t="s">
        <v>73</v>
      </c>
      <c r="I301">
        <v>26</v>
      </c>
      <c r="J301" t="s">
        <v>382</v>
      </c>
      <c r="K301">
        <v>60</v>
      </c>
      <c r="L301" t="s">
        <v>22</v>
      </c>
    </row>
    <row r="302" spans="7:12" x14ac:dyDescent="0.25">
      <c r="G302" t="s">
        <v>383</v>
      </c>
      <c r="H302" t="s">
        <v>73</v>
      </c>
      <c r="I302">
        <v>27</v>
      </c>
      <c r="J302" t="s">
        <v>383</v>
      </c>
      <c r="K302">
        <v>60</v>
      </c>
      <c r="L302" t="s">
        <v>22</v>
      </c>
    </row>
    <row r="303" spans="7:12" x14ac:dyDescent="0.25">
      <c r="G303" t="s">
        <v>390</v>
      </c>
      <c r="H303" t="s">
        <v>74</v>
      </c>
      <c r="I303">
        <v>3</v>
      </c>
      <c r="J303" t="s">
        <v>390</v>
      </c>
      <c r="K303">
        <v>60</v>
      </c>
      <c r="L303" t="s">
        <v>22</v>
      </c>
    </row>
    <row r="304" spans="7:12" x14ac:dyDescent="0.25">
      <c r="G304" t="s">
        <v>391</v>
      </c>
      <c r="H304" t="s">
        <v>74</v>
      </c>
      <c r="I304">
        <v>4</v>
      </c>
      <c r="J304" t="s">
        <v>391</v>
      </c>
      <c r="K304">
        <v>60</v>
      </c>
      <c r="L304" t="s">
        <v>22</v>
      </c>
    </row>
    <row r="305" spans="7:12" x14ac:dyDescent="0.25">
      <c r="G305" t="s">
        <v>392</v>
      </c>
      <c r="H305" t="s">
        <v>74</v>
      </c>
      <c r="I305">
        <v>5</v>
      </c>
      <c r="J305" t="s">
        <v>392</v>
      </c>
      <c r="K305">
        <v>60</v>
      </c>
      <c r="L305" t="s">
        <v>22</v>
      </c>
    </row>
    <row r="306" spans="7:12" x14ac:dyDescent="0.25">
      <c r="G306" t="s">
        <v>393</v>
      </c>
      <c r="H306" t="s">
        <v>74</v>
      </c>
      <c r="I306">
        <v>6</v>
      </c>
      <c r="J306" t="s">
        <v>393</v>
      </c>
      <c r="K306">
        <v>60</v>
      </c>
      <c r="L306" t="s">
        <v>22</v>
      </c>
    </row>
    <row r="307" spans="7:12" x14ac:dyDescent="0.25">
      <c r="G307" t="s">
        <v>394</v>
      </c>
      <c r="H307" t="s">
        <v>74</v>
      </c>
      <c r="I307">
        <v>7</v>
      </c>
      <c r="J307" t="s">
        <v>394</v>
      </c>
      <c r="K307">
        <v>60</v>
      </c>
      <c r="L307" t="s">
        <v>22</v>
      </c>
    </row>
    <row r="308" spans="7:12" x14ac:dyDescent="0.25">
      <c r="G308" t="s">
        <v>395</v>
      </c>
      <c r="H308" t="s">
        <v>75</v>
      </c>
      <c r="I308">
        <v>10</v>
      </c>
      <c r="J308" t="s">
        <v>395</v>
      </c>
      <c r="K308">
        <v>30</v>
      </c>
      <c r="L308" t="s">
        <v>22</v>
      </c>
    </row>
    <row r="309" spans="7:12" x14ac:dyDescent="0.25">
      <c r="G309" t="s">
        <v>396</v>
      </c>
      <c r="H309" t="s">
        <v>75</v>
      </c>
      <c r="I309">
        <v>11</v>
      </c>
      <c r="J309" t="s">
        <v>396</v>
      </c>
      <c r="K309">
        <v>30</v>
      </c>
      <c r="L309" t="s">
        <v>22</v>
      </c>
    </row>
    <row r="310" spans="7:12" x14ac:dyDescent="0.25">
      <c r="G310" t="s">
        <v>397</v>
      </c>
      <c r="H310" t="s">
        <v>75</v>
      </c>
      <c r="I310">
        <v>12</v>
      </c>
      <c r="J310" t="s">
        <v>397</v>
      </c>
      <c r="K310">
        <v>30</v>
      </c>
      <c r="L310" t="s">
        <v>22</v>
      </c>
    </row>
    <row r="311" spans="7:12" x14ac:dyDescent="0.25">
      <c r="G311" t="s">
        <v>398</v>
      </c>
      <c r="H311" t="s">
        <v>75</v>
      </c>
      <c r="I311">
        <v>13</v>
      </c>
      <c r="J311" t="s">
        <v>398</v>
      </c>
      <c r="K311">
        <v>30</v>
      </c>
      <c r="L311" t="s">
        <v>22</v>
      </c>
    </row>
    <row r="312" spans="7:12" x14ac:dyDescent="0.25">
      <c r="G312" t="s">
        <v>399</v>
      </c>
      <c r="H312" t="s">
        <v>75</v>
      </c>
      <c r="I312">
        <v>14</v>
      </c>
      <c r="J312" t="s">
        <v>399</v>
      </c>
      <c r="K312">
        <v>30</v>
      </c>
      <c r="L312" t="s">
        <v>22</v>
      </c>
    </row>
    <row r="313" spans="7:12" x14ac:dyDescent="0.25">
      <c r="G313" t="s">
        <v>400</v>
      </c>
      <c r="H313" t="s">
        <v>75</v>
      </c>
      <c r="I313">
        <v>15</v>
      </c>
      <c r="J313" t="s">
        <v>400</v>
      </c>
      <c r="K313">
        <v>30</v>
      </c>
      <c r="L313" t="s">
        <v>22</v>
      </c>
    </row>
    <row r="314" spans="7:12" x14ac:dyDescent="0.25">
      <c r="G314" t="s">
        <v>416</v>
      </c>
      <c r="H314" t="s">
        <v>75</v>
      </c>
      <c r="I314">
        <v>32</v>
      </c>
      <c r="J314" t="s">
        <v>416</v>
      </c>
      <c r="K314">
        <v>60</v>
      </c>
      <c r="L314" t="s">
        <v>22</v>
      </c>
    </row>
    <row r="315" spans="7:12" x14ac:dyDescent="0.25">
      <c r="G315" t="s">
        <v>417</v>
      </c>
      <c r="H315" t="s">
        <v>75</v>
      </c>
      <c r="I315">
        <v>33</v>
      </c>
      <c r="J315" t="s">
        <v>417</v>
      </c>
      <c r="K315">
        <v>60</v>
      </c>
      <c r="L315" t="s">
        <v>22</v>
      </c>
    </row>
    <row r="316" spans="7:12" x14ac:dyDescent="0.25">
      <c r="G316" t="s">
        <v>419</v>
      </c>
      <c r="H316" t="s">
        <v>75</v>
      </c>
      <c r="I316">
        <v>35</v>
      </c>
      <c r="J316" t="s">
        <v>419</v>
      </c>
      <c r="K316">
        <v>60</v>
      </c>
      <c r="L316" t="s">
        <v>22</v>
      </c>
    </row>
    <row r="317" spans="7:12" x14ac:dyDescent="0.25">
      <c r="G317" t="s">
        <v>420</v>
      </c>
      <c r="H317" t="s">
        <v>75</v>
      </c>
      <c r="I317">
        <v>36</v>
      </c>
      <c r="J317" t="s">
        <v>420</v>
      </c>
      <c r="K317">
        <v>60</v>
      </c>
      <c r="L317" t="s">
        <v>22</v>
      </c>
    </row>
    <row r="318" spans="7:12" x14ac:dyDescent="0.25">
      <c r="G318" t="s">
        <v>423</v>
      </c>
      <c r="H318" t="s">
        <v>75</v>
      </c>
      <c r="I318">
        <v>40</v>
      </c>
      <c r="J318" t="s">
        <v>423</v>
      </c>
      <c r="K318">
        <v>60</v>
      </c>
      <c r="L318" t="s">
        <v>22</v>
      </c>
    </row>
    <row r="319" spans="7:12" x14ac:dyDescent="0.25">
      <c r="G319" t="s">
        <v>395</v>
      </c>
      <c r="H319" t="s">
        <v>76</v>
      </c>
      <c r="I319">
        <v>10</v>
      </c>
      <c r="J319" t="s">
        <v>395</v>
      </c>
      <c r="K319">
        <v>30</v>
      </c>
      <c r="L319" t="s">
        <v>22</v>
      </c>
    </row>
    <row r="320" spans="7:12" x14ac:dyDescent="0.25">
      <c r="G320" t="s">
        <v>396</v>
      </c>
      <c r="H320" t="s">
        <v>76</v>
      </c>
      <c r="I320">
        <v>11</v>
      </c>
      <c r="J320" t="s">
        <v>396</v>
      </c>
      <c r="K320">
        <v>30</v>
      </c>
      <c r="L320" t="s">
        <v>22</v>
      </c>
    </row>
    <row r="321" spans="7:12" x14ac:dyDescent="0.25">
      <c r="G321" t="s">
        <v>397</v>
      </c>
      <c r="H321" t="s">
        <v>76</v>
      </c>
      <c r="I321">
        <v>12</v>
      </c>
      <c r="J321" t="s">
        <v>397</v>
      </c>
      <c r="K321">
        <v>30</v>
      </c>
      <c r="L321" t="s">
        <v>22</v>
      </c>
    </row>
    <row r="322" spans="7:12" x14ac:dyDescent="0.25">
      <c r="G322" t="s">
        <v>401</v>
      </c>
      <c r="H322" t="s">
        <v>76</v>
      </c>
      <c r="I322">
        <v>16</v>
      </c>
      <c r="J322" t="s">
        <v>401</v>
      </c>
      <c r="K322">
        <v>30</v>
      </c>
      <c r="L322" t="s">
        <v>22</v>
      </c>
    </row>
    <row r="323" spans="7:12" x14ac:dyDescent="0.25">
      <c r="G323" t="s">
        <v>402</v>
      </c>
      <c r="H323" t="s">
        <v>76</v>
      </c>
      <c r="I323">
        <v>17</v>
      </c>
      <c r="J323" t="s">
        <v>402</v>
      </c>
      <c r="K323">
        <v>30</v>
      </c>
      <c r="L323" t="s">
        <v>22</v>
      </c>
    </row>
    <row r="324" spans="7:12" x14ac:dyDescent="0.25">
      <c r="G324" t="s">
        <v>403</v>
      </c>
      <c r="H324" t="s">
        <v>76</v>
      </c>
      <c r="I324">
        <v>18</v>
      </c>
      <c r="J324" t="s">
        <v>403</v>
      </c>
      <c r="K324">
        <v>30</v>
      </c>
      <c r="L324" t="s">
        <v>22</v>
      </c>
    </row>
    <row r="325" spans="7:12" x14ac:dyDescent="0.25">
      <c r="G325" t="s">
        <v>415</v>
      </c>
      <c r="H325" t="s">
        <v>76</v>
      </c>
      <c r="I325">
        <v>30</v>
      </c>
      <c r="J325" t="s">
        <v>415</v>
      </c>
      <c r="K325">
        <v>60</v>
      </c>
      <c r="L325" t="s">
        <v>22</v>
      </c>
    </row>
    <row r="326" spans="7:12" x14ac:dyDescent="0.25">
      <c r="G326" t="s">
        <v>419</v>
      </c>
      <c r="H326" t="s">
        <v>76</v>
      </c>
      <c r="I326">
        <v>35</v>
      </c>
      <c r="J326" t="s">
        <v>419</v>
      </c>
      <c r="K326">
        <v>60</v>
      </c>
      <c r="L326" t="s">
        <v>22</v>
      </c>
    </row>
    <row r="327" spans="7:12" x14ac:dyDescent="0.25">
      <c r="G327" t="s">
        <v>420</v>
      </c>
      <c r="H327" t="s">
        <v>76</v>
      </c>
      <c r="I327">
        <v>36</v>
      </c>
      <c r="J327" t="s">
        <v>420</v>
      </c>
      <c r="K327">
        <v>60</v>
      </c>
      <c r="L327" t="s">
        <v>22</v>
      </c>
    </row>
    <row r="328" spans="7:12" x14ac:dyDescent="0.25">
      <c r="G328" t="s">
        <v>423</v>
      </c>
      <c r="H328" t="s">
        <v>76</v>
      </c>
      <c r="I328">
        <v>40</v>
      </c>
      <c r="J328" t="s">
        <v>423</v>
      </c>
      <c r="K328">
        <v>60</v>
      </c>
      <c r="L328" t="s">
        <v>22</v>
      </c>
    </row>
    <row r="329" spans="7:12" x14ac:dyDescent="0.25">
      <c r="G329" t="s">
        <v>404</v>
      </c>
      <c r="H329" t="s">
        <v>78</v>
      </c>
      <c r="I329">
        <v>19</v>
      </c>
      <c r="J329" t="s">
        <v>404</v>
      </c>
      <c r="K329">
        <v>30</v>
      </c>
      <c r="L329" t="s">
        <v>22</v>
      </c>
    </row>
    <row r="330" spans="7:12" x14ac:dyDescent="0.25">
      <c r="G330" t="s">
        <v>405</v>
      </c>
      <c r="H330" t="s">
        <v>78</v>
      </c>
      <c r="I330">
        <v>20</v>
      </c>
      <c r="J330" t="s">
        <v>405</v>
      </c>
      <c r="K330">
        <v>30</v>
      </c>
      <c r="L330" t="s">
        <v>22</v>
      </c>
    </row>
    <row r="331" spans="7:12" x14ac:dyDescent="0.25">
      <c r="G331" t="s">
        <v>406</v>
      </c>
      <c r="H331" t="s">
        <v>78</v>
      </c>
      <c r="I331">
        <v>21</v>
      </c>
      <c r="J331" t="s">
        <v>406</v>
      </c>
      <c r="K331">
        <v>30</v>
      </c>
      <c r="L331" t="s">
        <v>22</v>
      </c>
    </row>
    <row r="332" spans="7:12" x14ac:dyDescent="0.25">
      <c r="G332" t="s">
        <v>407</v>
      </c>
      <c r="H332" t="s">
        <v>78</v>
      </c>
      <c r="I332">
        <v>22</v>
      </c>
      <c r="J332" t="s">
        <v>407</v>
      </c>
      <c r="K332">
        <v>30</v>
      </c>
      <c r="L332" t="s">
        <v>22</v>
      </c>
    </row>
    <row r="333" spans="7:12" x14ac:dyDescent="0.25">
      <c r="G333" t="s">
        <v>408</v>
      </c>
      <c r="H333" t="s">
        <v>78</v>
      </c>
      <c r="I333">
        <v>23</v>
      </c>
      <c r="J333" t="s">
        <v>408</v>
      </c>
      <c r="K333">
        <v>30</v>
      </c>
      <c r="L333" t="s">
        <v>22</v>
      </c>
    </row>
    <row r="334" spans="7:12" x14ac:dyDescent="0.25">
      <c r="G334" t="s">
        <v>409</v>
      </c>
      <c r="H334" t="s">
        <v>78</v>
      </c>
      <c r="I334">
        <v>24</v>
      </c>
      <c r="J334" t="s">
        <v>409</v>
      </c>
      <c r="K334">
        <v>30</v>
      </c>
      <c r="L334" t="s">
        <v>22</v>
      </c>
    </row>
    <row r="335" spans="7:12" x14ac:dyDescent="0.25">
      <c r="G335" t="s">
        <v>410</v>
      </c>
      <c r="H335" t="s">
        <v>78</v>
      </c>
      <c r="I335">
        <v>25</v>
      </c>
      <c r="J335" t="s">
        <v>410</v>
      </c>
      <c r="K335">
        <v>30</v>
      </c>
      <c r="L335" t="s">
        <v>22</v>
      </c>
    </row>
    <row r="336" spans="7:12" x14ac:dyDescent="0.25">
      <c r="G336" t="s">
        <v>411</v>
      </c>
      <c r="H336" t="s">
        <v>78</v>
      </c>
      <c r="I336">
        <v>26</v>
      </c>
      <c r="J336" t="s">
        <v>411</v>
      </c>
      <c r="K336">
        <v>30</v>
      </c>
      <c r="L336" t="s">
        <v>22</v>
      </c>
    </row>
    <row r="337" spans="7:12" x14ac:dyDescent="0.25">
      <c r="G337" t="s">
        <v>412</v>
      </c>
      <c r="H337" t="s">
        <v>78</v>
      </c>
      <c r="I337">
        <v>27</v>
      </c>
      <c r="J337" t="s">
        <v>412</v>
      </c>
      <c r="K337">
        <v>30</v>
      </c>
      <c r="L337" t="s">
        <v>22</v>
      </c>
    </row>
    <row r="338" spans="7:12" x14ac:dyDescent="0.25">
      <c r="G338" t="s">
        <v>413</v>
      </c>
      <c r="H338" t="s">
        <v>78</v>
      </c>
      <c r="I338">
        <v>28</v>
      </c>
      <c r="J338" t="s">
        <v>413</v>
      </c>
      <c r="K338">
        <v>30</v>
      </c>
      <c r="L338" t="s">
        <v>22</v>
      </c>
    </row>
    <row r="339" spans="7:12" x14ac:dyDescent="0.25">
      <c r="G339" t="s">
        <v>414</v>
      </c>
      <c r="H339" t="s">
        <v>78</v>
      </c>
      <c r="I339">
        <v>29</v>
      </c>
      <c r="J339" t="s">
        <v>414</v>
      </c>
      <c r="K339">
        <v>30</v>
      </c>
      <c r="L339" t="s">
        <v>22</v>
      </c>
    </row>
    <row r="340" spans="7:12" x14ac:dyDescent="0.25">
      <c r="G340" t="s">
        <v>417</v>
      </c>
      <c r="H340" t="s">
        <v>78</v>
      </c>
      <c r="I340">
        <v>33</v>
      </c>
      <c r="J340" t="s">
        <v>417</v>
      </c>
      <c r="K340">
        <v>60</v>
      </c>
      <c r="L340" t="s">
        <v>22</v>
      </c>
    </row>
    <row r="341" spans="7:12" x14ac:dyDescent="0.25">
      <c r="G341" t="s">
        <v>418</v>
      </c>
      <c r="H341" t="s">
        <v>78</v>
      </c>
      <c r="I341">
        <v>34</v>
      </c>
      <c r="J341" t="s">
        <v>418</v>
      </c>
      <c r="K341">
        <v>60</v>
      </c>
      <c r="L341" t="s">
        <v>22</v>
      </c>
    </row>
    <row r="342" spans="7:12" x14ac:dyDescent="0.25">
      <c r="G342" t="s">
        <v>421</v>
      </c>
      <c r="H342" t="s">
        <v>78</v>
      </c>
      <c r="I342">
        <v>38</v>
      </c>
      <c r="J342" t="s">
        <v>421</v>
      </c>
      <c r="K342">
        <v>30</v>
      </c>
      <c r="L342" t="s">
        <v>22</v>
      </c>
    </row>
    <row r="343" spans="7:12" x14ac:dyDescent="0.25">
      <c r="G343" t="s">
        <v>422</v>
      </c>
      <c r="H343" t="s">
        <v>78</v>
      </c>
      <c r="I343">
        <v>39</v>
      </c>
      <c r="J343" t="s">
        <v>422</v>
      </c>
      <c r="K343">
        <v>30</v>
      </c>
      <c r="L343" t="s">
        <v>22</v>
      </c>
    </row>
    <row r="344" spans="7:12" x14ac:dyDescent="0.25">
      <c r="G344" t="s">
        <v>438</v>
      </c>
      <c r="H344" t="s">
        <v>79</v>
      </c>
      <c r="I344">
        <v>3</v>
      </c>
      <c r="J344" t="s">
        <v>438</v>
      </c>
      <c r="K344">
        <v>30</v>
      </c>
      <c r="L344" t="s">
        <v>22</v>
      </c>
    </row>
    <row r="345" spans="7:12" x14ac:dyDescent="0.25">
      <c r="G345" t="s">
        <v>439</v>
      </c>
      <c r="H345" t="s">
        <v>79</v>
      </c>
      <c r="I345">
        <v>4</v>
      </c>
      <c r="J345" t="s">
        <v>439</v>
      </c>
      <c r="K345">
        <v>30</v>
      </c>
      <c r="L345" t="s">
        <v>22</v>
      </c>
    </row>
    <row r="346" spans="7:12" x14ac:dyDescent="0.25">
      <c r="G346" t="s">
        <v>440</v>
      </c>
      <c r="H346" t="s">
        <v>79</v>
      </c>
      <c r="I346">
        <v>5</v>
      </c>
      <c r="J346" t="s">
        <v>440</v>
      </c>
      <c r="K346">
        <v>30</v>
      </c>
      <c r="L346" t="s">
        <v>22</v>
      </c>
    </row>
    <row r="347" spans="7:12" x14ac:dyDescent="0.25">
      <c r="G347" t="s">
        <v>441</v>
      </c>
      <c r="H347" t="s">
        <v>79</v>
      </c>
      <c r="I347">
        <v>8</v>
      </c>
      <c r="J347" t="s">
        <v>441</v>
      </c>
      <c r="K347">
        <v>30</v>
      </c>
      <c r="L347" t="s">
        <v>22</v>
      </c>
    </row>
    <row r="348" spans="7:12" x14ac:dyDescent="0.25">
      <c r="G348" t="s">
        <v>442</v>
      </c>
      <c r="H348" t="s">
        <v>79</v>
      </c>
      <c r="I348">
        <v>9</v>
      </c>
      <c r="J348" t="s">
        <v>442</v>
      </c>
      <c r="K348">
        <v>30</v>
      </c>
      <c r="L348" t="s">
        <v>22</v>
      </c>
    </row>
    <row r="349" spans="7:12" x14ac:dyDescent="0.25">
      <c r="G349" t="s">
        <v>443</v>
      </c>
      <c r="H349" t="s">
        <v>79</v>
      </c>
      <c r="I349">
        <v>10</v>
      </c>
      <c r="J349" t="s">
        <v>443</v>
      </c>
      <c r="K349">
        <v>30</v>
      </c>
      <c r="L349" t="s">
        <v>22</v>
      </c>
    </row>
    <row r="350" spans="7:12" x14ac:dyDescent="0.25">
      <c r="G350" t="s">
        <v>444</v>
      </c>
      <c r="H350" t="s">
        <v>79</v>
      </c>
      <c r="I350">
        <v>11</v>
      </c>
      <c r="J350" t="s">
        <v>444</v>
      </c>
      <c r="K350">
        <v>30</v>
      </c>
      <c r="L350" t="s">
        <v>22</v>
      </c>
    </row>
    <row r="351" spans="7:12" x14ac:dyDescent="0.25">
      <c r="G351" t="s">
        <v>445</v>
      </c>
      <c r="H351" t="s">
        <v>79</v>
      </c>
      <c r="I351">
        <v>12</v>
      </c>
      <c r="J351" t="s">
        <v>445</v>
      </c>
      <c r="K351">
        <v>60</v>
      </c>
      <c r="L351" t="s">
        <v>22</v>
      </c>
    </row>
    <row r="352" spans="7:12" x14ac:dyDescent="0.25">
      <c r="G352" t="s">
        <v>446</v>
      </c>
      <c r="H352" t="s">
        <v>79</v>
      </c>
      <c r="I352">
        <v>13</v>
      </c>
      <c r="J352" t="s">
        <v>446</v>
      </c>
      <c r="K352">
        <v>60</v>
      </c>
      <c r="L352" t="s">
        <v>22</v>
      </c>
    </row>
    <row r="353" spans="7:12" x14ac:dyDescent="0.25">
      <c r="G353" t="s">
        <v>447</v>
      </c>
      <c r="H353" t="s">
        <v>79</v>
      </c>
      <c r="I353">
        <v>14</v>
      </c>
      <c r="J353" t="s">
        <v>447</v>
      </c>
      <c r="K353">
        <v>60</v>
      </c>
      <c r="L353" t="s">
        <v>22</v>
      </c>
    </row>
    <row r="354" spans="7:12" x14ac:dyDescent="0.25">
      <c r="G354" t="s">
        <v>448</v>
      </c>
      <c r="H354" t="s">
        <v>79</v>
      </c>
      <c r="I354">
        <v>15</v>
      </c>
      <c r="J354" t="s">
        <v>448</v>
      </c>
      <c r="K354">
        <v>30</v>
      </c>
      <c r="L354" t="s">
        <v>22</v>
      </c>
    </row>
    <row r="355" spans="7:12" x14ac:dyDescent="0.25">
      <c r="G355" t="s">
        <v>449</v>
      </c>
      <c r="H355" t="s">
        <v>79</v>
      </c>
      <c r="I355">
        <v>17</v>
      </c>
      <c r="J355" t="s">
        <v>449</v>
      </c>
      <c r="K355">
        <v>60</v>
      </c>
      <c r="L355" t="s">
        <v>22</v>
      </c>
    </row>
    <row r="356" spans="7:12" x14ac:dyDescent="0.25">
      <c r="G356" t="s">
        <v>450</v>
      </c>
      <c r="H356" t="s">
        <v>79</v>
      </c>
      <c r="I356">
        <v>18</v>
      </c>
      <c r="J356" t="s">
        <v>450</v>
      </c>
      <c r="K356">
        <v>60</v>
      </c>
      <c r="L356" t="s">
        <v>22</v>
      </c>
    </row>
    <row r="357" spans="7:12" x14ac:dyDescent="0.25">
      <c r="G357" t="s">
        <v>451</v>
      </c>
      <c r="H357" t="s">
        <v>79</v>
      </c>
      <c r="I357">
        <v>20</v>
      </c>
      <c r="J357" t="s">
        <v>451</v>
      </c>
      <c r="K357">
        <v>60</v>
      </c>
      <c r="L357" t="s">
        <v>22</v>
      </c>
    </row>
    <row r="358" spans="7:12" x14ac:dyDescent="0.25">
      <c r="G358" t="s">
        <v>460</v>
      </c>
      <c r="H358" t="s">
        <v>82</v>
      </c>
      <c r="I358">
        <v>15</v>
      </c>
      <c r="J358" t="s">
        <v>460</v>
      </c>
      <c r="K358">
        <v>60</v>
      </c>
      <c r="L358" t="s">
        <v>22</v>
      </c>
    </row>
    <row r="359" spans="7:12" x14ac:dyDescent="0.25">
      <c r="G359" t="s">
        <v>461</v>
      </c>
      <c r="H359" t="s">
        <v>82</v>
      </c>
      <c r="I359">
        <v>17</v>
      </c>
      <c r="J359" t="s">
        <v>461</v>
      </c>
      <c r="K359">
        <v>60</v>
      </c>
      <c r="L359" t="s">
        <v>22</v>
      </c>
    </row>
    <row r="360" spans="7:12" x14ac:dyDescent="0.25">
      <c r="G360" t="s">
        <v>452</v>
      </c>
      <c r="H360" t="s">
        <v>82</v>
      </c>
      <c r="I360">
        <v>18</v>
      </c>
      <c r="J360" t="s">
        <v>452</v>
      </c>
      <c r="K360">
        <v>60</v>
      </c>
      <c r="L360" t="s">
        <v>22</v>
      </c>
    </row>
    <row r="361" spans="7:12" x14ac:dyDescent="0.25">
      <c r="G361" t="s">
        <v>462</v>
      </c>
      <c r="H361" t="s">
        <v>82</v>
      </c>
      <c r="I361">
        <v>19</v>
      </c>
      <c r="J361" t="s">
        <v>462</v>
      </c>
      <c r="K361">
        <v>60</v>
      </c>
      <c r="L361" t="s">
        <v>22</v>
      </c>
    </row>
    <row r="362" spans="7:12" x14ac:dyDescent="0.25">
      <c r="G362" t="s">
        <v>463</v>
      </c>
      <c r="H362" t="s">
        <v>82</v>
      </c>
      <c r="I362">
        <v>20</v>
      </c>
      <c r="J362" t="s">
        <v>463</v>
      </c>
      <c r="K362">
        <v>60</v>
      </c>
      <c r="L362" t="s">
        <v>22</v>
      </c>
    </row>
    <row r="363" spans="7:12" x14ac:dyDescent="0.25">
      <c r="G363" t="s">
        <v>464</v>
      </c>
      <c r="H363" t="s">
        <v>82</v>
      </c>
      <c r="I363">
        <v>21</v>
      </c>
      <c r="J363" t="s">
        <v>464</v>
      </c>
      <c r="K363">
        <v>60</v>
      </c>
      <c r="L363" t="s">
        <v>22</v>
      </c>
    </row>
    <row r="364" spans="7:12" x14ac:dyDescent="0.25">
      <c r="G364" t="s">
        <v>465</v>
      </c>
      <c r="H364" t="s">
        <v>82</v>
      </c>
      <c r="I364">
        <v>22</v>
      </c>
      <c r="J364" t="s">
        <v>465</v>
      </c>
      <c r="K364">
        <v>60</v>
      </c>
      <c r="L364" t="s">
        <v>22</v>
      </c>
    </row>
    <row r="365" spans="7:12" x14ac:dyDescent="0.25">
      <c r="G365" t="s">
        <v>466</v>
      </c>
      <c r="H365" t="s">
        <v>82</v>
      </c>
      <c r="I365">
        <v>24</v>
      </c>
      <c r="J365" t="s">
        <v>466</v>
      </c>
      <c r="K365">
        <v>60</v>
      </c>
      <c r="L365" t="s">
        <v>22</v>
      </c>
    </row>
    <row r="366" spans="7:12" x14ac:dyDescent="0.25">
      <c r="G366" t="s">
        <v>452</v>
      </c>
      <c r="H366" s="8" t="s">
        <v>83</v>
      </c>
      <c r="I366">
        <v>18</v>
      </c>
      <c r="J366" t="s">
        <v>452</v>
      </c>
      <c r="K366">
        <v>60</v>
      </c>
      <c r="L366" t="s">
        <v>22</v>
      </c>
    </row>
    <row r="367" spans="7:12" x14ac:dyDescent="0.25">
      <c r="G367" t="s">
        <v>462</v>
      </c>
      <c r="H367" s="8" t="s">
        <v>83</v>
      </c>
      <c r="I367">
        <v>19</v>
      </c>
      <c r="J367" t="s">
        <v>462</v>
      </c>
      <c r="K367">
        <v>60</v>
      </c>
      <c r="L367" t="s">
        <v>22</v>
      </c>
    </row>
    <row r="368" spans="7:12" x14ac:dyDescent="0.25">
      <c r="G368" t="s">
        <v>463</v>
      </c>
      <c r="H368" s="8" t="s">
        <v>83</v>
      </c>
      <c r="I368">
        <v>20</v>
      </c>
      <c r="J368" t="s">
        <v>463</v>
      </c>
      <c r="K368">
        <v>60</v>
      </c>
      <c r="L368" t="s">
        <v>22</v>
      </c>
    </row>
    <row r="369" spans="7:12" x14ac:dyDescent="0.25">
      <c r="G369" t="s">
        <v>464</v>
      </c>
      <c r="H369" s="8" t="s">
        <v>83</v>
      </c>
      <c r="I369">
        <v>21</v>
      </c>
      <c r="J369" t="s">
        <v>464</v>
      </c>
      <c r="K369">
        <v>60</v>
      </c>
      <c r="L369" t="s">
        <v>22</v>
      </c>
    </row>
    <row r="370" spans="7:12" x14ac:dyDescent="0.25">
      <c r="G370" t="s">
        <v>465</v>
      </c>
      <c r="H370" s="8" t="s">
        <v>83</v>
      </c>
      <c r="I370">
        <v>22</v>
      </c>
      <c r="J370" t="s">
        <v>465</v>
      </c>
      <c r="K370">
        <v>60</v>
      </c>
      <c r="L370" t="s">
        <v>22</v>
      </c>
    </row>
    <row r="371" spans="7:12" x14ac:dyDescent="0.25">
      <c r="G371" t="s">
        <v>461</v>
      </c>
      <c r="H371" t="s">
        <v>84</v>
      </c>
      <c r="I371">
        <v>17</v>
      </c>
      <c r="J371" t="s">
        <v>461</v>
      </c>
      <c r="K371">
        <v>60</v>
      </c>
      <c r="L371" t="s">
        <v>22</v>
      </c>
    </row>
    <row r="372" spans="7:12" x14ac:dyDescent="0.25">
      <c r="G372" t="s">
        <v>466</v>
      </c>
      <c r="H372" t="s">
        <v>84</v>
      </c>
      <c r="I372">
        <v>24</v>
      </c>
      <c r="J372" t="s">
        <v>466</v>
      </c>
      <c r="K372">
        <v>60</v>
      </c>
      <c r="L372" t="s">
        <v>22</v>
      </c>
    </row>
    <row r="373" spans="7:12" x14ac:dyDescent="0.25">
      <c r="G373" t="s">
        <v>489</v>
      </c>
      <c r="H373" t="s">
        <v>87</v>
      </c>
      <c r="I373">
        <v>8</v>
      </c>
      <c r="J373" t="s">
        <v>489</v>
      </c>
      <c r="K373">
        <v>30</v>
      </c>
      <c r="L373" t="s">
        <v>22</v>
      </c>
    </row>
    <row r="374" spans="7:12" x14ac:dyDescent="0.25">
      <c r="G374" t="s">
        <v>490</v>
      </c>
      <c r="H374" t="s">
        <v>87</v>
      </c>
      <c r="I374">
        <v>9</v>
      </c>
      <c r="J374" t="s">
        <v>490</v>
      </c>
      <c r="K374">
        <v>30</v>
      </c>
      <c r="L374" t="s">
        <v>22</v>
      </c>
    </row>
    <row r="375" spans="7:12" x14ac:dyDescent="0.25">
      <c r="G375" t="s">
        <v>491</v>
      </c>
      <c r="H375" t="s">
        <v>87</v>
      </c>
      <c r="I375">
        <v>10</v>
      </c>
      <c r="J375" t="s">
        <v>491</v>
      </c>
      <c r="K375">
        <v>30</v>
      </c>
      <c r="L375" t="s">
        <v>22</v>
      </c>
    </row>
    <row r="376" spans="7:12" x14ac:dyDescent="0.25">
      <c r="G376" t="s">
        <v>492</v>
      </c>
      <c r="H376" t="s">
        <v>87</v>
      </c>
      <c r="I376">
        <v>12</v>
      </c>
      <c r="J376" t="s">
        <v>492</v>
      </c>
      <c r="K376">
        <v>60</v>
      </c>
      <c r="L376" t="s">
        <v>22</v>
      </c>
    </row>
    <row r="377" spans="7:12" x14ac:dyDescent="0.25">
      <c r="G377" t="s">
        <v>493</v>
      </c>
      <c r="H377" t="s">
        <v>87</v>
      </c>
      <c r="I377">
        <v>13</v>
      </c>
      <c r="J377" t="s">
        <v>493</v>
      </c>
      <c r="K377">
        <v>60</v>
      </c>
      <c r="L377" t="s">
        <v>22</v>
      </c>
    </row>
    <row r="378" spans="7:12" x14ac:dyDescent="0.25">
      <c r="G378" t="s">
        <v>494</v>
      </c>
      <c r="H378" t="s">
        <v>87</v>
      </c>
      <c r="I378">
        <v>14</v>
      </c>
      <c r="J378" t="s">
        <v>494</v>
      </c>
      <c r="K378">
        <v>60</v>
      </c>
      <c r="L378" t="s">
        <v>22</v>
      </c>
    </row>
    <row r="379" spans="7:12" x14ac:dyDescent="0.25">
      <c r="G379" t="s">
        <v>495</v>
      </c>
      <c r="H379" t="s">
        <v>87</v>
      </c>
      <c r="I379">
        <v>15</v>
      </c>
      <c r="J379" t="s">
        <v>495</v>
      </c>
      <c r="K379">
        <v>60</v>
      </c>
      <c r="L379" t="s">
        <v>22</v>
      </c>
    </row>
    <row r="380" spans="7:12" x14ac:dyDescent="0.25">
      <c r="G380" t="s">
        <v>496</v>
      </c>
      <c r="H380" t="s">
        <v>87</v>
      </c>
      <c r="I380">
        <v>16</v>
      </c>
      <c r="J380" t="s">
        <v>496</v>
      </c>
      <c r="K380">
        <v>30</v>
      </c>
      <c r="L380" t="s">
        <v>22</v>
      </c>
    </row>
    <row r="381" spans="7:12" x14ac:dyDescent="0.25">
      <c r="G381" t="s">
        <v>497</v>
      </c>
      <c r="H381" t="s">
        <v>87</v>
      </c>
      <c r="I381">
        <v>17</v>
      </c>
      <c r="J381" t="s">
        <v>497</v>
      </c>
      <c r="K381">
        <v>30</v>
      </c>
      <c r="L381" t="s">
        <v>22</v>
      </c>
    </row>
    <row r="382" spans="7:12" x14ac:dyDescent="0.25">
      <c r="G382" t="s">
        <v>498</v>
      </c>
      <c r="H382" t="s">
        <v>87</v>
      </c>
      <c r="I382">
        <v>18</v>
      </c>
      <c r="J382" t="s">
        <v>498</v>
      </c>
      <c r="K382">
        <v>30</v>
      </c>
      <c r="L382" t="s">
        <v>22</v>
      </c>
    </row>
    <row r="383" spans="7:12" x14ac:dyDescent="0.25">
      <c r="G383" t="s">
        <v>499</v>
      </c>
      <c r="H383" t="s">
        <v>87</v>
      </c>
      <c r="I383">
        <v>19</v>
      </c>
      <c r="J383" t="s">
        <v>499</v>
      </c>
      <c r="K383">
        <v>30</v>
      </c>
      <c r="L383" t="s">
        <v>22</v>
      </c>
    </row>
    <row r="384" spans="7:12" x14ac:dyDescent="0.25">
      <c r="G384" t="s">
        <v>500</v>
      </c>
      <c r="H384" t="s">
        <v>87</v>
      </c>
      <c r="I384">
        <v>20</v>
      </c>
      <c r="J384" t="s">
        <v>500</v>
      </c>
      <c r="K384">
        <v>30</v>
      </c>
      <c r="L384" t="s">
        <v>22</v>
      </c>
    </row>
    <row r="385" spans="7:12" x14ac:dyDescent="0.25">
      <c r="G385" t="s">
        <v>501</v>
      </c>
      <c r="H385" t="s">
        <v>87</v>
      </c>
      <c r="I385">
        <v>21</v>
      </c>
      <c r="J385" t="s">
        <v>501</v>
      </c>
      <c r="K385">
        <v>30</v>
      </c>
      <c r="L385" t="s">
        <v>22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W48"/>
  <sheetViews>
    <sheetView topLeftCell="CK22" workbookViewId="0">
      <selection activeCell="AH1" sqref="AH1:AH1048576"/>
    </sheetView>
  </sheetViews>
  <sheetFormatPr defaultRowHeight="15" x14ac:dyDescent="0.25"/>
  <cols>
    <col min="1" max="1" width="9.42578125" customWidth="1"/>
    <col min="3" max="3" width="44.140625" bestFit="1" customWidth="1"/>
    <col min="5" max="5" width="8.85546875" customWidth="1"/>
    <col min="7" max="7" width="43" bestFit="1" customWidth="1"/>
    <col min="11" max="11" width="43" bestFit="1" customWidth="1"/>
    <col min="15" max="15" width="43" bestFit="1" customWidth="1"/>
    <col min="19" max="19" width="43" bestFit="1" customWidth="1"/>
    <col min="23" max="23" width="43" bestFit="1" customWidth="1"/>
    <col min="27" max="27" width="43" bestFit="1" customWidth="1"/>
    <col min="31" max="31" width="43" bestFit="1" customWidth="1"/>
    <col min="35" max="35" width="50.5703125" bestFit="1" customWidth="1"/>
    <col min="37" max="37" width="69.7109375" customWidth="1"/>
    <col min="39" max="39" width="56.7109375" bestFit="1" customWidth="1"/>
    <col min="43" max="43" width="37" bestFit="1" customWidth="1"/>
    <col min="47" max="47" width="39.7109375" bestFit="1" customWidth="1"/>
    <col min="51" max="51" width="64" bestFit="1" customWidth="1"/>
    <col min="55" max="55" width="47.85546875" bestFit="1" customWidth="1"/>
    <col min="59" max="59" width="45.42578125" bestFit="1" customWidth="1"/>
    <col min="63" max="63" width="64" bestFit="1" customWidth="1"/>
    <col min="67" max="67" width="47.85546875" bestFit="1" customWidth="1"/>
    <col min="71" max="71" width="47.85546875" bestFit="1" customWidth="1"/>
    <col min="75" max="75" width="58.7109375" bestFit="1" customWidth="1"/>
    <col min="79" max="79" width="21.85546875" bestFit="1" customWidth="1"/>
    <col min="83" max="83" width="58.7109375" bestFit="1" customWidth="1"/>
    <col min="87" max="87" width="61.85546875" bestFit="1" customWidth="1"/>
    <col min="91" max="91" width="45" bestFit="1" customWidth="1"/>
    <col min="95" max="95" width="54.5703125" bestFit="1" customWidth="1"/>
    <col min="99" max="99" width="43.28515625" bestFit="1" customWidth="1"/>
    <col min="103" max="103" width="27.7109375" bestFit="1" customWidth="1"/>
    <col min="107" max="107" width="43.28515625" bestFit="1" customWidth="1"/>
    <col min="111" max="111" width="43.28515625" bestFit="1" customWidth="1"/>
    <col min="115" max="115" width="40.28515625" bestFit="1" customWidth="1"/>
    <col min="119" max="119" width="43.85546875" bestFit="1" customWidth="1"/>
    <col min="123" max="123" width="43.85546875" bestFit="1" customWidth="1"/>
    <col min="127" max="127" width="43.85546875" bestFit="1" customWidth="1"/>
    <col min="131" max="131" width="39.5703125" bestFit="1" customWidth="1"/>
    <col min="135" max="135" width="33.140625" bestFit="1" customWidth="1"/>
    <col min="139" max="139" width="39.5703125" bestFit="1" customWidth="1"/>
    <col min="143" max="143" width="43.85546875" bestFit="1" customWidth="1"/>
    <col min="147" max="147" width="30.85546875" bestFit="1" customWidth="1"/>
    <col min="151" max="151" width="47.140625" bestFit="1" customWidth="1"/>
    <col min="155" max="155" width="54.7109375" bestFit="1" customWidth="1"/>
    <col min="159" max="159" width="38" bestFit="1" customWidth="1"/>
    <col min="163" max="163" width="54.7109375" bestFit="1" customWidth="1"/>
    <col min="167" max="167" width="38" bestFit="1" customWidth="1"/>
    <col min="171" max="171" width="37.140625" bestFit="1" customWidth="1"/>
    <col min="175" max="175" width="38" bestFit="1" customWidth="1"/>
  </cols>
  <sheetData>
    <row r="1" spans="1:179" x14ac:dyDescent="0.25">
      <c r="A1" t="s">
        <v>12</v>
      </c>
      <c r="E1" t="s">
        <v>46</v>
      </c>
      <c r="I1" t="s">
        <v>146</v>
      </c>
      <c r="M1" t="s">
        <v>147</v>
      </c>
      <c r="Q1" t="s">
        <v>148</v>
      </c>
      <c r="U1" t="s">
        <v>149</v>
      </c>
      <c r="Y1" t="s">
        <v>150</v>
      </c>
      <c r="AC1" t="s">
        <v>151</v>
      </c>
      <c r="AG1" t="s">
        <v>53</v>
      </c>
      <c r="AK1" t="s">
        <v>211</v>
      </c>
      <c r="AO1" t="s">
        <v>59</v>
      </c>
      <c r="AS1" t="s">
        <v>269</v>
      </c>
      <c r="AW1" t="s">
        <v>270</v>
      </c>
      <c r="BA1" t="s">
        <v>272</v>
      </c>
      <c r="BE1" t="s">
        <v>271</v>
      </c>
      <c r="BI1" t="s">
        <v>273</v>
      </c>
      <c r="BM1" t="s">
        <v>274</v>
      </c>
      <c r="BQ1" t="s">
        <v>275</v>
      </c>
      <c r="BU1" t="s">
        <v>276</v>
      </c>
      <c r="BY1" t="s">
        <v>277</v>
      </c>
      <c r="CC1" t="s">
        <v>278</v>
      </c>
      <c r="CG1" t="s">
        <v>302</v>
      </c>
      <c r="CK1" t="s">
        <v>303</v>
      </c>
      <c r="CO1" t="s">
        <v>69</v>
      </c>
      <c r="CS1" t="s">
        <v>352</v>
      </c>
      <c r="CW1" t="s">
        <v>353</v>
      </c>
      <c r="DA1" t="s">
        <v>354</v>
      </c>
      <c r="DE1" t="s">
        <v>355</v>
      </c>
      <c r="DI1" t="s">
        <v>73</v>
      </c>
      <c r="DM1" t="s">
        <v>424</v>
      </c>
      <c r="DQ1" t="s">
        <v>425</v>
      </c>
      <c r="DU1" t="s">
        <v>426</v>
      </c>
      <c r="DY1" t="s">
        <v>427</v>
      </c>
      <c r="EC1" t="s">
        <v>428</v>
      </c>
      <c r="EG1" t="s">
        <v>429</v>
      </c>
      <c r="EK1" t="s">
        <v>430</v>
      </c>
      <c r="EO1" t="s">
        <v>431</v>
      </c>
      <c r="ES1" t="s">
        <v>79</v>
      </c>
      <c r="EW1" t="s">
        <v>476</v>
      </c>
      <c r="FA1" t="s">
        <v>477</v>
      </c>
      <c r="FE1" t="s">
        <v>478</v>
      </c>
      <c r="FI1" t="s">
        <v>479</v>
      </c>
      <c r="FM1" t="s">
        <v>480</v>
      </c>
      <c r="FQ1" t="s">
        <v>481</v>
      </c>
      <c r="FU1" t="s">
        <v>87</v>
      </c>
    </row>
    <row r="2" spans="1:179" x14ac:dyDescent="0.25">
      <c r="A2" t="s">
        <v>24</v>
      </c>
      <c r="B2">
        <f>IF(COUNTIF(Diploma!$E$20:$E$83,A2)&gt;=1,"",ROW())</f>
        <v>2</v>
      </c>
      <c r="C2" t="str">
        <f>IF(ROW(A2)-ROW(A$2)+1&gt;COUNT(B$2:B$50),"",INDEX(A:A,SMALL(B$2:B$50,1+ROW(A2)-ROW(A$2))))</f>
        <v>Practical Scientific Project</v>
      </c>
      <c r="E2" t="s">
        <v>113</v>
      </c>
      <c r="F2">
        <f>IF(OR(COUNTIF(Diploma!$E$20:$E$83,E2)&gt;=1,COUNTIF(Diploma!$E$20:$E$83,E7)&gt;=1,COUNTIF(Diploma!$E$20:$E$83,E9)&gt;=1,COUNTIF(Diploma!$E$20:$E$83,E16)&gt;=1),"",ROW())</f>
        <v>2</v>
      </c>
      <c r="G2" t="str">
        <f>IF(ROW(E2)-ROW(E$2)+1&gt;COUNT(F$2:F$50),"",INDEX(E:E,SMALL(F$2:F$50,1+ROW(E2)-ROW(E$2))))</f>
        <v>Communicating Ideas in 2D</v>
      </c>
      <c r="I2" t="s">
        <v>113</v>
      </c>
      <c r="J2">
        <f>IF(COUNTIF(Diploma!$E$20:$E$83,I2)&gt;=1,"",ROW())</f>
        <v>2</v>
      </c>
      <c r="K2" t="str">
        <f>IF(ROW(I2)-ROW(I$2)+1&gt;COUNT(J$2:J$50),"",INDEX(I:I,SMALL(J$2:J$50,1+ROW(I2)-ROW(I$2))))</f>
        <v>Communicating Ideas in 2D</v>
      </c>
      <c r="M2" t="s">
        <v>113</v>
      </c>
      <c r="N2">
        <f>IF(COUNTIF(Diploma!$E$20:$E$83,M2)&gt;=1,"",ROW())</f>
        <v>2</v>
      </c>
      <c r="O2" t="str">
        <f>IF(ROW(M2)-ROW(M$2)+1&gt;COUNT(N$2:N$50),"",INDEX(M:M,SMALL(N$2:N$50,1+ROW(M2)-ROW(M$2))))</f>
        <v>Communicating Ideas in 2D</v>
      </c>
      <c r="Q2" t="s">
        <v>113</v>
      </c>
      <c r="R2">
        <f>IF(COUNTIF(Diploma!$E$20:$E$83,Q2)&gt;=1,"",ROW())</f>
        <v>2</v>
      </c>
      <c r="S2" t="str">
        <f>IF(ROW(Q2)-ROW(Q$2)+1&gt;COUNT(R$2:R$50),"",INDEX(Q:Q,SMALL(R$2:R$50,1+ROW(Q2)-ROW(Q$2))))</f>
        <v>Communicating Ideas in 2D</v>
      </c>
      <c r="U2" t="s">
        <v>113</v>
      </c>
      <c r="V2">
        <f>IF(OR(COUNTIF(Diploma!$E$20:$E$83,U2)&gt;=1,COUNTIF(Diploma!$E$20:$E$83,U6)&gt;=1),"",ROW())</f>
        <v>2</v>
      </c>
      <c r="W2" t="str">
        <f>IF(ROW(U2)-ROW(U$2)+1&gt;COUNT(V$2:V$50),"",INDEX(U:U,SMALL(V$2:V$50,1+ROW(U2)-ROW(U$2))))</f>
        <v>Communicating Ideas in 2D</v>
      </c>
      <c r="Y2" t="s">
        <v>115</v>
      </c>
      <c r="Z2">
        <f>IF(COUNTIF(Diploma!$E$20:$E$83,Y2)&gt;=1,"",ROW())</f>
        <v>2</v>
      </c>
      <c r="AA2" t="str">
        <f>IF(ROW(Y2)-ROW(Y$2)+1&gt;COUNT(Z$2:Z$50),"",INDEX(Y:Y,SMALL(Z$2:Z$50,1+ROW(Y2)-ROW(Y$2))))</f>
        <v>Using Mobile Devices in Art and Design</v>
      </c>
      <c r="AC2" t="s">
        <v>114</v>
      </c>
      <c r="AD2">
        <f>IF(COUNTIF(Diploma!$E$20:$E$83,AC2)&gt;=1,"",ROW())</f>
        <v>2</v>
      </c>
      <c r="AE2" t="str">
        <f>IF(ROW(AC2)-ROW(AC$2)+1&gt;COUNT(AD$2:AD$50),"",INDEX(AC:AC,SMALL(AD$2:AD$50,1+ROW(AC2)-ROW(AC$2))))</f>
        <v>Communicating Ideas in 3D</v>
      </c>
      <c r="AG2" t="s">
        <v>158</v>
      </c>
      <c r="AH2">
        <f>IF(COUNTIF(Diploma!$E$20:$E$83,AG2)&gt;=1,"",ROW())</f>
        <v>2</v>
      </c>
      <c r="AI2" t="str">
        <f>IF(ROW(AG2)-ROW(AG$2)+1&gt;COUNT(AH$2:AH$50),"",INDEX(AG:AG,SMALL(AH$2:AH$50,1+ROW(AG2)-ROW(AG$2))))</f>
        <v>Principles of Customer Services</v>
      </c>
      <c r="AK2" t="s">
        <v>190</v>
      </c>
      <c r="AL2">
        <f>IF(COUNTIF(Diploma!$E$20:$E$83,AK2)&gt;=1,"",ROW())</f>
        <v>2</v>
      </c>
      <c r="AM2" t="str">
        <f>IF(ROW(AK2)-ROW(AK$2)+1&gt;COUNT(AL$2:AL$50),"",INDEX(AK:AK,SMALL(AL$2:AL$50,1+ROW(AK2)-ROW(AK$2))))</f>
        <v>Construction Drawing Techniques</v>
      </c>
      <c r="AO2" t="s">
        <v>217</v>
      </c>
      <c r="AP2">
        <f>IF(COUNTIF(Diploma!$E$20:$E$83,AO2)&gt;=1,"",ROW())</f>
        <v>2</v>
      </c>
      <c r="AQ2" t="str">
        <f>IF(ROW(AO2)-ROW(AO$2)+1&gt;COUNT(AP$2:AP$50),"",INDEX(AO:AO,SMALL(AP$2:AP$50,1+ROW(AO2)-ROW(AO$2))))</f>
        <v>Digital Moving Image Production</v>
      </c>
      <c r="AS2" t="s">
        <v>241</v>
      </c>
      <c r="AT2">
        <f>IF(COUNTIF(Diploma!$E$20:$E$83,AS2)&gt;=1,"",ROW())</f>
        <v>2</v>
      </c>
      <c r="AU2" t="str">
        <f>IF(ROW(AS2)-ROW(AS$2)+1&gt;COUNT(AT$2:AT$50),"",INDEX(AS:AS,SMALL(AT$2:AT$50,1+ROW(AS2)-ROW(AS$2))))</f>
        <v>Machining Techniques</v>
      </c>
      <c r="AW2" t="s">
        <v>66</v>
      </c>
      <c r="AX2">
        <f>IF(COUNTIF(Diploma!$E$20:$E$83,AW2)&gt;=1,"",ROW())</f>
        <v>2</v>
      </c>
      <c r="AY2" t="str">
        <f>IF(ROW(AW2)-ROW(AW$2)+1&gt;COUNT(AX$2:AX$50),"",INDEX(AW:AW,SMALL(AX$2:AX$50,1+ROW(AW2)-ROW(AW$2))))</f>
        <v>Engineering Maintenance</v>
      </c>
      <c r="BA2" t="s">
        <v>256</v>
      </c>
      <c r="BB2">
        <f>IF(COUNTIF(Diploma!$E$20:$E$83,BA2)&gt;=1,"",ROW())</f>
        <v>2</v>
      </c>
      <c r="BC2" t="str">
        <f>IF(ROW(BA2)-ROW(BA$2)+1&gt;COUNT(BB$2:BB$50),"",INDEX(BA:BA,SMALL(BB$2:BB$50,1+ROW(BA2)-ROW(BA$2))))</f>
        <v>Electronic Devices and Communication Applications</v>
      </c>
      <c r="BE2" t="s">
        <v>66</v>
      </c>
      <c r="BF2">
        <f>IF(COUNTIF(Diploma!$E$20:$E$83,BE2)&gt;=1,"",ROW())</f>
        <v>2</v>
      </c>
      <c r="BG2" t="str">
        <f>IF(ROW(BE2)-ROW(BE$2)+1&gt;COUNT(BF$2:BF$50),"",INDEX(BE:BE,SMALL(BF$2:BF$50,1+ROW(BE2)-ROW(BE$2))))</f>
        <v>Engineering Maintenance</v>
      </c>
      <c r="BI2" t="s">
        <v>257</v>
      </c>
      <c r="BJ2">
        <f>IF(COUNTIF(Diploma!$E$20:$E$83,BI2)&gt;=1,"",ROW())</f>
        <v>2</v>
      </c>
      <c r="BK2" t="str">
        <f>IF(ROW(BI2)-ROW(BI$2)+1&gt;COUNT(BJ$2:BJ$50),"",INDEX(BI:BI,SMALL(BJ$2:BJ$50,1+ROW(BI2)-ROW(BI$2))))</f>
        <v>Operation and Maintenance of Mechanical Systems and Components</v>
      </c>
      <c r="BM2" t="s">
        <v>242</v>
      </c>
      <c r="BN2">
        <f>IF(COUNTIF(Diploma!$E$20:$E$83,BM2)&gt;=1,"",ROW())</f>
        <v>2</v>
      </c>
      <c r="BO2" t="str">
        <f>IF(ROW(BM2)-ROW(BM$2)+1&gt;COUNT(BN$2:BN$50),"",INDEX(BM:BM,SMALL(BN$2:BN$50,1+ROW(BM2)-ROW(BM$2))))</f>
        <v>Electronic Circuit Design and Construction</v>
      </c>
      <c r="BQ2" t="s">
        <v>244</v>
      </c>
      <c r="BR2">
        <f>IF(COUNTIF(Diploma!$E$20:$E$83,BQ2)&gt;=1,"",ROW())</f>
        <v>2</v>
      </c>
      <c r="BS2" t="str">
        <f>IF(ROW(BQ2)-ROW(BQ$2)+1&gt;COUNT(BR$2:BR$50),"",INDEX(BQ:BQ,SMALL(BR$2:BR$50,1+ROW(BQ2)-ROW(BQ$2))))</f>
        <v>Operating an Efficient Workplace</v>
      </c>
      <c r="BU2" t="s">
        <v>66</v>
      </c>
      <c r="BV2">
        <f>IF(COUNTIF(Diploma!$E$20:$E$83,BU2)&gt;=1,"",ROW())</f>
        <v>2</v>
      </c>
      <c r="BW2" t="str">
        <f>IF(ROW(BU2)-ROW(BU$2)+1&gt;COUNT(BV$2:BV$50),"",INDEX(BU:BU,SMALL(BV$2:BV$50,1+ROW(BU2)-ROW(BU$2))))</f>
        <v>Engineering Maintenance</v>
      </c>
      <c r="BY2" t="s">
        <v>241</v>
      </c>
      <c r="BZ2">
        <f>IF(COUNTIF(Diploma!$E$20:$E$83,BY2)&gt;=1,"",ROW())</f>
        <v>2</v>
      </c>
      <c r="CA2" t="str">
        <f>IF(ROW(BY2)-ROW(BY$2)+1&gt;COUNT(BZ$2:BZ$50),"",INDEX(BY:BY,SMALL(BZ$2:BZ$50,1+ROW(BY2)-ROW(BY$2))))</f>
        <v>Machining Techniques</v>
      </c>
      <c r="CC2" t="s">
        <v>66</v>
      </c>
      <c r="CD2">
        <f>IF(COUNTIF(Diploma!$E$20:$E$83,CC2)&gt;=1,"",ROW())</f>
        <v>2</v>
      </c>
      <c r="CE2" t="str">
        <f>IF(ROW(CC2)-ROW(CC$2)+1&gt;COUNT(CD$2:CD$50),"",INDEX(CC:CC,SMALL(CD$2:CD$50,1+ROW(CC2)-ROW(CC$2))))</f>
        <v>Engineering Maintenance</v>
      </c>
      <c r="CG2" t="s">
        <v>286</v>
      </c>
      <c r="CH2">
        <f>IF(COUNTIF(Diploma!$E$20:$E$83,CG2)&gt;=1,"",ROW())</f>
        <v>2</v>
      </c>
      <c r="CI2" t="str">
        <f>IF(ROW(CG2)-ROW(CG$2)+1&gt;COUNT(CH$2:CH$50),"",INDEX(CG:CG,SMALL(CH$2:CH$50,1+ROW(CG2)-ROW(CG$2))))</f>
        <v>Human Body Systems and Care of Disorders</v>
      </c>
      <c r="CK2" t="s">
        <v>294</v>
      </c>
      <c r="CL2">
        <f>IF(COUNTIF(Diploma!$E$20:$E$83,CK2)&gt;=1,"",ROW())</f>
        <v>2</v>
      </c>
      <c r="CM2" t="str">
        <f>IF(ROW(CK2)-ROW(CK$2)+1&gt;COUNT(CL$2:CL$50),"",INDEX(CK:CK,SMALL(CL$2:CL$50,1+ROW(CK2)-ROW(CK$2))))</f>
        <v>Social Influences on Health and Wellbeing</v>
      </c>
      <c r="CO2" t="s">
        <v>310</v>
      </c>
      <c r="CP2">
        <f>IF(COUNTIF(Diploma!$E$20:$E$83,CO2)&gt;=1,"",ROW())</f>
        <v>2</v>
      </c>
      <c r="CQ2" t="str">
        <f t="shared" ref="CQ2:CQ6" si="0">IF(ROW(CO2)-ROW(CO$2)+1&gt;COUNT(CP$2:CP$50),"",INDEX(CO:CO,SMALL(CP$2:CP$50,1+ROW(CO2)-ROW(CO$2))))</f>
        <v>Costing and Controlling Finances in the Hospitality Industry</v>
      </c>
      <c r="CS2" t="s">
        <v>333</v>
      </c>
      <c r="CT2">
        <f>IF(COUNTIF(Diploma!$E$20:$E$83,CS2)&gt;=1,"",ROW())</f>
        <v>2</v>
      </c>
      <c r="CU2" t="str">
        <f>IF(ROW(CS2)-ROW(CS$2)+1&gt;COUNT(CT$2:CT$50),"",INDEX(CS:CS,SMALL(CT$2:CT$50,1+ROW(CS2)-ROW(CS$2))))</f>
        <v>Database Development</v>
      </c>
      <c r="CW2" t="s">
        <v>344</v>
      </c>
      <c r="CX2">
        <f>IF(COUNTIF(Diploma!$E$20:$E$83,CW2)&gt;=1,"",ROW())</f>
        <v>2</v>
      </c>
      <c r="CY2" t="str">
        <f>IF(ROW(CW2)-ROW(CW$2)+1&gt;COUNT(CX$2:CX$50),"",INDEX(CW:CW,SMALL(CX$2:CX$50,1+ROW(CW2)-ROW(CW$2))))</f>
        <v>Creating Digital Animation</v>
      </c>
      <c r="DA2" t="s">
        <v>344</v>
      </c>
      <c r="DB2">
        <f>IF(COUNTIF(Diploma!$E$20:$E$83,DA2)&gt;=1,"",ROW())</f>
        <v>2</v>
      </c>
      <c r="DC2" t="str">
        <f>IF(ROW(DA2)-ROW(DA$2)+1&gt;COUNT(DB$2:DB$50),"",INDEX(DA:DA,SMALL(DB$2:DB$50,1+ROW(DA2)-ROW(DA$2))))</f>
        <v>Creating Digital Animation</v>
      </c>
      <c r="DE2" t="s">
        <v>344</v>
      </c>
      <c r="DF2">
        <f>IF(COUNTIF(Diploma!$E$20:$E$83,DE2)&gt;=1,"",ROW())</f>
        <v>2</v>
      </c>
      <c r="DG2" t="str">
        <f>IF(ROW(DE2)-ROW(DE$2)+1&gt;COUNT(DF$2:DF$50),"",INDEX(DE:DE,SMALL(DF$2:DF$50,1+ROW(DE2)-ROW(DE$2))))</f>
        <v>Creating Digital Animation</v>
      </c>
      <c r="DI2" t="s">
        <v>362</v>
      </c>
      <c r="DJ2">
        <f>IF(COUNTIF(Diploma!$E$20:$E$83,DI2)&gt;=1,"",ROW())</f>
        <v>2</v>
      </c>
      <c r="DK2" t="str">
        <f>IF(ROW(DI2)-ROW(DI$2)+1&gt;COUNT(DJ$2:DJ$50),"",INDEX(DI:DI,SMALL(DJ$2:DJ$50,1+ROW(DI2)-ROW(DI$2))))</f>
        <v>Introducing Live Sound</v>
      </c>
      <c r="DM2" t="s">
        <v>390</v>
      </c>
      <c r="DN2">
        <f>IF(COUNTIF(Diploma!$E$20:$E$83,DM2)&gt;=1,"",ROW())</f>
        <v>2</v>
      </c>
      <c r="DO2" t="str">
        <f>IF(ROW(DM2)-ROW(DM$2)+1&gt;COUNT(DN$2:DN$50),"",INDEX(DM:DM,SMALL(DN$2:DN$50,1+ROW(DM2)-ROW(DM$2))))</f>
        <v>Acting Skills</v>
      </c>
      <c r="DQ2" t="s">
        <v>395</v>
      </c>
      <c r="DR2">
        <f>IF(COUNTIF(Diploma!$E$20:$E$83,DQ2)&gt;=1,"",ROW())</f>
        <v>2</v>
      </c>
      <c r="DS2" t="str">
        <f>IF(ROW(DQ2)-ROW(DQ$2)+1&gt;COUNT(DR$2:DR$50),"",INDEX(DQ:DQ,SMALL(DR$2:DR$50,1+ROW(DQ2)-ROW(DQ$2))))</f>
        <v>Movement Skills</v>
      </c>
      <c r="DU2" t="s">
        <v>395</v>
      </c>
      <c r="DV2">
        <f>IF(COUNTIF(Diploma!$E$20:$E$83,DU2)&gt;=1,"",ROW())</f>
        <v>2</v>
      </c>
      <c r="DW2" t="str">
        <f>IF(ROW(DU2)-ROW(DU$2)+1&gt;COUNT(DV$2:DV$50),"",INDEX(DU:DU,SMALL(DV$2:DV$50,1+ROW(DU2)-ROW(DU$2))))</f>
        <v>Movement Skills</v>
      </c>
      <c r="DY2" t="s">
        <v>401</v>
      </c>
      <c r="DZ2">
        <f>IF(COUNTIF(Diploma!$E$20:$E$83,DY2)&gt;=1,"",ROW())</f>
        <v>2</v>
      </c>
      <c r="EA2" t="str">
        <f>IF(ROW(DY2)-ROW(DY$2)+1&gt;COUNT(DZ$2:DZ$50),"",INDEX(DY:DY,SMALL(DZ$2:DZ$50,1+ROW(DY2)-ROW(DY$2))))</f>
        <v>Contemporary Dance Techniques</v>
      </c>
      <c r="EC2" t="s">
        <v>395</v>
      </c>
      <c r="ED2">
        <f>IF(COUNTIF(Diploma!$E$20:$E$83,EC2)&gt;=1,"",ROW())</f>
        <v>2</v>
      </c>
      <c r="EE2" t="str">
        <f>IF(ROW(EC2)-ROW(EC$2)+1&gt;COUNT(ED$2:ED$50),"",INDEX(EC:EC,SMALL(ED$2:ED$50,1+ROW(EC2)-ROW(EC$2))))</f>
        <v>Movement Skills</v>
      </c>
      <c r="EG2" t="s">
        <v>399</v>
      </c>
      <c r="EH2">
        <f>IF(COUNTIF(Diploma!$E$20:$E$83,EG2)&gt;=1,"",ROW())</f>
        <v>2</v>
      </c>
      <c r="EI2" t="str">
        <f>IF(ROW(EG2)-ROW(EG$2)+1&gt;COUNT(EH$2:EH$50),"",INDEX(EG:EG,SMALL(EH$2:EH$50,1+ROW(EG2)-ROW(EG$2))))</f>
        <v>Voice and Speech for Performers</v>
      </c>
      <c r="EK2" t="s">
        <v>404</v>
      </c>
      <c r="EL2">
        <f>IF(COUNTIF(Diploma!$E$20:$E$83,EK2)&gt;=1,"",ROW())</f>
        <v>2</v>
      </c>
      <c r="EM2" t="str">
        <f>IF(ROW(EK2)-ROW(EK$2)+1&gt;COUNT(EL$2:EL$50),"",INDEX(EK:EK,SMALL(EL$2:EL$50,1+ROW(EK2)-ROW(EK$2))))</f>
        <v>Design Planning for Performance</v>
      </c>
      <c r="EO2" t="s">
        <v>395</v>
      </c>
      <c r="EP2">
        <f>IF(COUNTIF(Diploma!$E$20:$E$83,EO2)&gt;=1,"",ROW())</f>
        <v>2</v>
      </c>
      <c r="EQ2" t="str">
        <f>IF(ROW(EO2)-ROW(EO$2)+1&gt;COUNT(EP$2:EP$50),"",INDEX(EO:EO,SMALL(EP$2:EP$50,1+ROW(EO2)-ROW(EO$2))))</f>
        <v>Movement Skills</v>
      </c>
      <c r="ES2" t="s">
        <v>438</v>
      </c>
      <c r="ET2">
        <f>IF(COUNTIF(Diploma!$E$20:$E$83,ES2)&gt;=1,"",ROW())</f>
        <v>2</v>
      </c>
      <c r="EU2" t="str">
        <f>IF(ROW(ES2)-ROW(ES$2)+1&gt;COUNT(ET$2:ET$50),"",INDEX(ES:ES,SMALL(ET$2:ET$50,1+ROW(ES2)-ROW(ES$2))))</f>
        <v>Employment in the Public Services</v>
      </c>
      <c r="EW2" t="s">
        <v>460</v>
      </c>
      <c r="EX2">
        <f>IF(COUNTIF(Diploma!$E$20:$E$83,EW2)&gt;=1,"",ROW())</f>
        <v>2</v>
      </c>
      <c r="EY2" t="str">
        <f>IF(ROW(EW2)-ROW(EW$2)+1&gt;COUNT(EX$2:EX$50),"",INDEX(EW:EW,SMALL(EX$2:EX$50,1+ROW(EW2)-ROW(EW$2))))</f>
        <v>Designing Exercise Programmes</v>
      </c>
      <c r="FA2" t="s">
        <v>467</v>
      </c>
      <c r="FB2">
        <f>IF(COUNTIF(Diploma!$E$20:$E$83,FA2)&gt;=1,"",ROW())</f>
        <v>2</v>
      </c>
      <c r="FC2" t="str">
        <f>IF(ROW(FA2)-ROW(FA$2)+1&gt;COUNT(FB$2:FB$50),"",INDEX(FA:FA,SMALL(FB$2:FB$50,1+ROW(FA2)-ROW(FA$2))))</f>
        <v>Leading Sports Activities</v>
      </c>
      <c r="FE2" t="s">
        <v>452</v>
      </c>
      <c r="FF2">
        <f>IF(COUNTIF(Diploma!$E$20:$E$83,FE2)&gt;=1,"",ROW())</f>
        <v>2</v>
      </c>
      <c r="FG2" t="str">
        <f>IF(ROW(FE2)-ROW(FE$2)+1&gt;COUNT(FF$2:FF$50),"",INDEX(FE:FE,SMALL(FF$2:FF$50,1+ROW(FE2)-ROW(FE$2))))</f>
        <v>Expedition Experience</v>
      </c>
      <c r="FI2" t="s">
        <v>467</v>
      </c>
      <c r="FJ2">
        <f>IF(COUNTIF(Diploma!$E$20:$E$83,FI2)&gt;=1,"",ROW())</f>
        <v>2</v>
      </c>
      <c r="FK2" t="str">
        <f>IF(ROW(FI2)-ROW(FI$2)+1&gt;COUNT(FJ$2:FJ$50),"",INDEX(FI:FI,SMALL(FJ$2:FJ$50,1+ROW(FI2)-ROW(FI$2))))</f>
        <v>Leading Sports Activities</v>
      </c>
      <c r="FM2" t="s">
        <v>461</v>
      </c>
      <c r="FN2">
        <f>IF(COUNTIF(Diploma!$E$20:$E$83,FM2)&gt;=1,"",ROW())</f>
        <v>2</v>
      </c>
      <c r="FO2" t="str">
        <f>IF(ROW(FM2)-ROW(FM$2)+1&gt;COUNT(FN$2:FN$50),"",INDEX(FM:FM,SMALL(FN$2:FN$50,1+ROW(FM2)-ROW(FM$2))))</f>
        <v>Facility Operations for Sport and Leisure</v>
      </c>
      <c r="FQ2" t="s">
        <v>467</v>
      </c>
      <c r="FR2">
        <f>IF(COUNTIF(Diploma!$E$20:$E$83,FQ2)&gt;=1,"",ROW())</f>
        <v>2</v>
      </c>
      <c r="FS2" t="str">
        <f>IF(ROW(FQ2)-ROW(FQ$2)+1&gt;COUNT(FR$2:FR$50),"",INDEX(FQ:FQ,SMALL(FR$2:FR$50,1+ROW(FQ2)-ROW(FQ$2))))</f>
        <v>Leading Sports Activities</v>
      </c>
      <c r="FU2" t="s">
        <v>489</v>
      </c>
      <c r="FV2">
        <f>IF(COUNTIF(Diploma!$E$20:$E$83,FU2)&gt;=1,"",ROW())</f>
        <v>2</v>
      </c>
      <c r="FW2" t="str">
        <f>IF(ROW(FU2)-ROW(FU$2)+1&gt;COUNT(FV$2:FV$50),"",INDEX(FU:FU,SMALL(FV$2:FV$50,1+ROW(FU2)-ROW(FU$2))))</f>
        <v>Promotion and Sales in Travel and Tourism</v>
      </c>
    </row>
    <row r="3" spans="1:179" x14ac:dyDescent="0.25">
      <c r="A3" t="s">
        <v>25</v>
      </c>
      <c r="B3">
        <f>IF(COUNTIF(Diploma!$E$20:$E$83,A3)&gt;=1,"",ROW())</f>
        <v>3</v>
      </c>
      <c r="C3" t="str">
        <f t="shared" ref="C3:C17" si="1">IF(ROW(A3)-ROW(A$2)+1&gt;COUNT(B$2:B$50),"",INDEX(A:A,SMALL(B$2:B$50,1+ROW(A3)-ROW(A$2))))</f>
        <v>World Energy</v>
      </c>
      <c r="E3" t="s">
        <v>114</v>
      </c>
      <c r="F3">
        <f>IF(OR(COUNTIF(Diploma!$E$20:$E$83,E3)&gt;=1,COUNTIF(Diploma!$E$20:$E$83,E5)&gt;=1,COUNTIF(Diploma!$E$20:$E$83,E9)&gt;=1,COUNTIF(Diploma!$E$20:$E$83,E13)&gt;=1,COUNTIF(Diploma!$E$20:$E$83,E17)&gt;=1,COUNTIF(Diploma!$E$20:$E$83,E34)&gt;=1),"",ROW())</f>
        <v>3</v>
      </c>
      <c r="G3" t="str">
        <f t="shared" ref="G3:G34" si="2">IF(ROW(E3)-ROW(E$2)+1&gt;COUNT(F$2:F$50),"",INDEX(E:E,SMALL(F$2:F$50,1+ROW(E3)-ROW(E$2))))</f>
        <v>Communicating Ideas in 3D</v>
      </c>
      <c r="I3" t="s">
        <v>123</v>
      </c>
      <c r="J3">
        <f>IF(COUNTIF(Diploma!$E$20:$E$83,I3)&gt;=1,"",ROW())</f>
        <v>3</v>
      </c>
      <c r="K3" t="str">
        <f t="shared" ref="K3:K12" si="3">IF(ROW(I3)-ROW(I$2)+1&gt;COUNT(J$2:J$50),"",INDEX(I:I,SMALL(J$2:J$50,1+ROW(I3)-ROW(I$2))))</f>
        <v>Art, Craft and Design in the Creative Industries</v>
      </c>
      <c r="M3" t="s">
        <v>116</v>
      </c>
      <c r="N3">
        <f>IF(COUNTIF(Diploma!$E$20:$E$83,M3)&gt;=1,"",ROW())</f>
        <v>3</v>
      </c>
      <c r="O3" t="str">
        <f t="shared" ref="O3:O14" si="4">IF(ROW(M3)-ROW(M$2)+1&gt;COUNT(N$2:N$50),"",INDEX(M:M,SMALL(N$2:N$50,1+ROW(M3)-ROW(M$2))))</f>
        <v>Design Crafts Briefs</v>
      </c>
      <c r="Q3" t="s">
        <v>114</v>
      </c>
      <c r="R3">
        <f>IF(COUNTIF(Diploma!$E$20:$E$83,Q3)&gt;=1,"",ROW())</f>
        <v>3</v>
      </c>
      <c r="S3" t="str">
        <f t="shared" ref="S3:S12" si="5">IF(ROW(Q3)-ROW(Q$2)+1&gt;COUNT(R$2:R$50),"",INDEX(Q:Q,SMALL(R$2:R$50,1+ROW(Q3)-ROW(Q$2))))</f>
        <v>Communicating Ideas in 3D</v>
      </c>
      <c r="U3" t="s">
        <v>114</v>
      </c>
      <c r="V3">
        <f>IF(OR(COUNTIF(Diploma!$E$20:$E$83,U3)&gt;=1,COUNTIF(Diploma!$E$20:$E$83,U9)&gt;=1,COUNTIF(Diploma!$E$20:$E$83,U12)&gt;=1),"",ROW())</f>
        <v>3</v>
      </c>
      <c r="W3" t="str">
        <f t="shared" ref="W3:W14" si="6">IF(ROW(U3)-ROW(U$2)+1&gt;COUNT(V$2:V$50),"",INDEX(U:U,SMALL(V$2:V$50,1+ROW(U3)-ROW(U$2))))</f>
        <v>Communicating Ideas in 3D</v>
      </c>
      <c r="Y3" t="s">
        <v>121</v>
      </c>
      <c r="Z3">
        <f>IF(COUNTIF(Diploma!$E$20:$E$83,Y3)&gt;=1,"",ROW())</f>
        <v>3</v>
      </c>
      <c r="AA3" t="str">
        <f t="shared" ref="AA3:AA14" si="7">IF(ROW(Y3)-ROW(Y$2)+1&gt;COUNT(Z$2:Z$50),"",INDEX(Y:Y,SMALL(Z$2:Z$50,1+ROW(Y3)-ROW(Y$2))))</f>
        <v>Photography Briefs</v>
      </c>
      <c r="AC3" t="s">
        <v>115</v>
      </c>
      <c r="AD3">
        <f>IF(COUNTIF(Diploma!$E$20:$E$83,AC3)&gt;=1,"",ROW())</f>
        <v>3</v>
      </c>
      <c r="AE3" t="str">
        <f t="shared" ref="AE3:AE16" si="8">IF(ROW(AC3)-ROW(AC$2)+1&gt;COUNT(AD$2:AD$50),"",INDEX(AC:AC,SMALL(AD$2:AD$50,1+ROW(AC3)-ROW(AC$2))))</f>
        <v>Using Mobile Devices in Art and Design</v>
      </c>
      <c r="AG3" t="s">
        <v>159</v>
      </c>
      <c r="AH3">
        <f>IF(COUNTIF(Diploma!$E$20:$E$83,AG3)&gt;=1,"",ROW())</f>
        <v>3</v>
      </c>
      <c r="AI3" t="str">
        <f t="shared" ref="AI3:AI27" si="9">IF(ROW(AG3)-ROW(AG$2)+1&gt;COUNT(AH$2:AH$50),"",INDEX(AG:AG,SMALL(AH$2:AH$50,1+ROW(AG3)-ROW(AG$2))))</f>
        <v>Sales and Personal Selling</v>
      </c>
      <c r="AK3" t="s">
        <v>191</v>
      </c>
      <c r="AL3">
        <f>IF(COUNTIF(Diploma!$E$20:$E$83,AK3)&gt;=1,"",ROW())</f>
        <v>3</v>
      </c>
      <c r="AM3" t="str">
        <f t="shared" ref="AM3:AM22" si="10">IF(ROW(AK3)-ROW(AK$2)+1&gt;COUNT(AL$2:AL$50),"",INDEX(AK:AK,SMALL(AL$2:AL$50,1+ROW(AK3)-ROW(AK$2))))</f>
        <v>Exploring Carpentry and Joinery Principles and Techniques</v>
      </c>
      <c r="AO3" t="s">
        <v>218</v>
      </c>
      <c r="AP3">
        <f>IF(COUNTIF(Diploma!$E$20:$E$83,AO3)&gt;=1,"",ROW())</f>
        <v>3</v>
      </c>
      <c r="AQ3" t="str">
        <f t="shared" ref="AQ3:AQ18" si="11">IF(ROW(AO3)-ROW(AO$2)+1&gt;COUNT(AP$2:AP$50),"",INDEX(AO:AO,SMALL(AP$2:AP$50,1+ROW(AO3)-ROW(AO$2))))</f>
        <v>Digital Audio Production</v>
      </c>
      <c r="AS3" t="s">
        <v>242</v>
      </c>
      <c r="AT3">
        <f>IF(COUNTIF(Diploma!$E$20:$E$83,AS3)&gt;=1,"",ROW())</f>
        <v>3</v>
      </c>
      <c r="AU3" t="str">
        <f>IF(ROW(AS3)-ROW(AS$2)+1&gt;COUNT(AT$2:AT$50),"",INDEX(AS:AS,SMALL(AT$2:AT$50,1+ROW(AS3)-ROW(AS$2))))</f>
        <v>Electronic Circuit Design and Construction</v>
      </c>
      <c r="AW3" t="s">
        <v>247</v>
      </c>
      <c r="AX3">
        <f>IF(COUNTIF(Diploma!$E$20:$E$83,AW3)&gt;=1,"",ROW())</f>
        <v>3</v>
      </c>
      <c r="AY3" t="str">
        <f t="shared" ref="AY3:AY24" si="12">IF(ROW(AW3)-ROW(AW$2)+1&gt;COUNT(AX$2:AX$50),"",INDEX(AW:AW,SMALL(AX$2:AX$50,1+ROW(AW3)-ROW(AW$2))))</f>
        <v>Computer-aided Engineering</v>
      </c>
      <c r="BA3" t="s">
        <v>267</v>
      </c>
      <c r="BB3">
        <f>IF(COUNTIF(Diploma!$E$20:$E$83,BA3)&gt;=1,"",ROW())</f>
        <v>3</v>
      </c>
      <c r="BC3" t="str">
        <f>IF(ROW(BA3)-ROW(BA$2)+1&gt;COUNT(BB$2:BB$50),"",INDEX(BA:BA,SMALL(BB$2:BB$50,1+ROW(BA3)-ROW(BA$2))))</f>
        <v>PC Software and Hardware in Engineering</v>
      </c>
      <c r="BE3" t="s">
        <v>247</v>
      </c>
      <c r="BF3">
        <f>IF(COUNTIF(Diploma!$E$20:$E$83,BE3)&gt;=1,"",ROW())</f>
        <v>3</v>
      </c>
      <c r="BG3" t="str">
        <f t="shared" ref="BG3:BG8" si="13">IF(ROW(BE3)-ROW(BE$2)+1&gt;COUNT(BF$2:BF$50),"",INDEX(BE:BE,SMALL(BF$2:BF$50,1+ROW(BE3)-ROW(BE$2))))</f>
        <v>Computer-aided Engineering</v>
      </c>
      <c r="BI3" t="s">
        <v>258</v>
      </c>
      <c r="BJ3">
        <f>IF(COUNTIF(Diploma!$E$20:$E$83,BI3)&gt;=1,"",ROW())</f>
        <v>3</v>
      </c>
      <c r="BK3" t="str">
        <f>IF(ROW(BI3)-ROW(BI$2)+1&gt;COUNT(BJ$2:BJ$50),"",INDEX(BI:BI,SMALL(BJ$2:BJ$50,1+ROW(BI3)-ROW(BI$2))))</f>
        <v>Operation and Maintenance of Electronic Systems and Components</v>
      </c>
      <c r="BM3" t="s">
        <v>248</v>
      </c>
      <c r="BN3">
        <f>IF(COUNTIF(Diploma!$E$20:$E$83,BM3)&gt;=1,"",ROW())</f>
        <v>3</v>
      </c>
      <c r="BO3" t="str">
        <f t="shared" ref="BO3:BO8" si="14">IF(ROW(BM3)-ROW(BM$2)+1&gt;COUNT(BN$2:BN$50),"",INDEX(BM:BM,SMALL(BN$2:BN$50,1+ROW(BM3)-ROW(BM$2))))</f>
        <v>Electrical and Mechanical Science for Engineering</v>
      </c>
      <c r="BQ3" t="s">
        <v>255</v>
      </c>
      <c r="BR3">
        <f>IF(COUNTIF(Diploma!$E$20:$E$83,BQ3)&gt;=1,"",ROW())</f>
        <v>3</v>
      </c>
      <c r="BS3" t="str">
        <f>IF(ROW(BQ3)-ROW(BQ$2)+1&gt;COUNT(BR$2:BR$50),"",INDEX(BQ:BQ,SMALL(BR$2:BR$50,1+ROW(BQ3)-ROW(BQ$2))))</f>
        <v>Continuous Improvement and Problem-Solving</v>
      </c>
      <c r="BU3" t="s">
        <v>247</v>
      </c>
      <c r="BV3">
        <f>IF(COUNTIF(Diploma!$E$20:$E$83,BU3)&gt;=1,"",ROW())</f>
        <v>3</v>
      </c>
      <c r="BW3" t="str">
        <f t="shared" ref="BW3:BW13" si="15">IF(ROW(BU3)-ROW(BU$2)+1&gt;COUNT(BV$2:BV$50),"",INDEX(BU:BU,SMALL(BV$2:BV$50,1+ROW(BU3)-ROW(BU$2))))</f>
        <v>Computer-aided Engineering</v>
      </c>
      <c r="BY3" t="s">
        <v>261</v>
      </c>
      <c r="BZ3">
        <f>IF(COUNTIF(Diploma!$E$20:$E$83,BY3)&gt;=1,"",ROW())</f>
        <v>3</v>
      </c>
      <c r="CA3" t="str">
        <f>IF(ROW(BY3)-ROW(BY$2)+1&gt;COUNT(BZ$2:BZ$50),"",INDEX(BY:BY,SMALL(BZ$2:BZ$50,1+ROW(BY3)-ROW(BY$2))))</f>
        <v>Fabrication Techniques</v>
      </c>
      <c r="CC3" t="s">
        <v>247</v>
      </c>
      <c r="CD3">
        <f>IF(COUNTIF(Diploma!$E$20:$E$83,CC3)&gt;=1,"",ROW())</f>
        <v>3</v>
      </c>
      <c r="CE3" t="str">
        <f t="shared" ref="CE3:CE12" si="16">IF(ROW(CC3)-ROW(CC$2)+1&gt;COUNT(CD$2:CD$50),"",INDEX(CC:CC,SMALL(CD$2:CD$50,1+ROW(CC3)-ROW(CC$2))))</f>
        <v>Computer-aided Engineering</v>
      </c>
      <c r="CG3" t="s">
        <v>287</v>
      </c>
      <c r="CH3">
        <f>IF(COUNTIF(Diploma!$E$20:$E$83,CG3)&gt;=1,"",ROW())</f>
        <v>3</v>
      </c>
      <c r="CI3" t="str">
        <f t="shared" ref="CI3:CI9" si="17">IF(ROW(CG3)-ROW(CG$2)+1&gt;COUNT(CH$2:CH$50),"",INDEX(CG:CG,SMALL(CH$2:CH$50,1+ROW(CG3)-ROW(CG$2))))</f>
        <v>Creative and Therapeutic Activities in Health and Social Care</v>
      </c>
      <c r="CK3" t="s">
        <v>295</v>
      </c>
      <c r="CL3">
        <f>IF(COUNTIF(Diploma!$E$20:$E$83,CK3)&gt;=1,"",ROW())</f>
        <v>3</v>
      </c>
      <c r="CM3" t="str">
        <f t="shared" ref="CM3:CM9" si="18">IF(ROW(CK3)-ROW(CK$2)+1&gt;COUNT(CL$2:CL$50),"",INDEX(CK:CK,SMALL(CL$2:CL$50,1+ROW(CK3)-ROW(CK$2))))</f>
        <v>Promoting Health and Wellbeing</v>
      </c>
      <c r="CO3" t="s">
        <v>311</v>
      </c>
      <c r="CP3">
        <f>IF(COUNTIF(Diploma!$E$20:$E$83,CO3)&gt;=1,"",ROW())</f>
        <v>3</v>
      </c>
      <c r="CQ3" t="str">
        <f t="shared" si="0"/>
        <v>Enterprise in the Hospitality Industry</v>
      </c>
      <c r="CS3" t="s">
        <v>334</v>
      </c>
      <c r="CT3">
        <f>IF(COUNTIF(Diploma!$E$20:$E$83,CS3)&gt;=1,"",ROW())</f>
        <v>3</v>
      </c>
      <c r="CU3" t="str">
        <f t="shared" ref="CU3:CU12" si="19">IF(ROW(CS3)-ROW(CS$2)+1&gt;COUNT(CT$2:CT$50),"",INDEX(CS:CS,SMALL(CT$2:CT$50,1+ROW(CS3)-ROW(CS$2))))</f>
        <v>Computer Networks</v>
      </c>
      <c r="CW3" t="s">
        <v>345</v>
      </c>
      <c r="CX3">
        <f>IF(COUNTIF(Diploma!$E$20:$E$83,CW3)&gt;=1,"",ROW())</f>
        <v>3</v>
      </c>
      <c r="CY3" t="str">
        <f t="shared" ref="CY3:CY9" si="20">IF(ROW(CW3)-ROW(CW$2)+1&gt;COUNT(CX$2:CX$50),"",INDEX(CW:CW,SMALL(CX$2:CX$50,1+ROW(CW3)-ROW(CW$2))))</f>
        <v>Creating Digital Audio</v>
      </c>
      <c r="DA3" t="s">
        <v>345</v>
      </c>
      <c r="DB3">
        <f>IF(COUNTIF(Diploma!$E$20:$E$83,DA3)&gt;=1,"",ROW())</f>
        <v>3</v>
      </c>
      <c r="DC3" t="str">
        <f t="shared" ref="DC3:DC17" si="21">IF(ROW(DA3)-ROW(DA$2)+1&gt;COUNT(DB$2:DB$50),"",INDEX(DA:DA,SMALL(DB$2:DB$50,1+ROW(DA3)-ROW(DA$2))))</f>
        <v>Creating Digital Audio</v>
      </c>
      <c r="DE3" t="s">
        <v>345</v>
      </c>
      <c r="DF3">
        <f>IF(COUNTIF(Diploma!$E$20:$E$83,DE3)&gt;=1,"",ROW())</f>
        <v>3</v>
      </c>
      <c r="DG3" t="str">
        <f t="shared" ref="DG3:DG17" si="22">IF(ROW(DE3)-ROW(DE$2)+1&gt;COUNT(DF$2:DF$50),"",INDEX(DE:DE,SMALL(DF$2:DF$50,1+ROW(DE3)-ROW(DE$2))))</f>
        <v>Creating Digital Audio</v>
      </c>
      <c r="DI3" t="s">
        <v>363</v>
      </c>
      <c r="DJ3">
        <f>IF(COUNTIF(Diploma!$E$20:$E$83,DI3)&gt;=1,"",ROW())</f>
        <v>3</v>
      </c>
      <c r="DK3" t="str">
        <f t="shared" ref="DK3:DK23" si="23">IF(ROW(DI3)-ROW(DI$2)+1&gt;COUNT(DJ$2:DJ$50),"",INDEX(DI:DI,SMALL(DJ$2:DJ$50,1+ROW(DI3)-ROW(DI$2))))</f>
        <v>Introducing Music Composition</v>
      </c>
      <c r="DM3" t="s">
        <v>391</v>
      </c>
      <c r="DN3">
        <f>IF(COUNTIF(Diploma!$E$20:$E$83,DM3)&gt;=1,"",ROW())</f>
        <v>3</v>
      </c>
      <c r="DO3" t="str">
        <f>IF(ROW(DM3)-ROW(DM$2)+1&gt;COUNT(DN$2:DN$50),"",INDEX(DM:DM,SMALL(DN$2:DN$50,1+ROW(DM3)-ROW(DM$2))))</f>
        <v>Dance Skills</v>
      </c>
      <c r="DQ3" t="s">
        <v>396</v>
      </c>
      <c r="DR3">
        <f>IF(COUNTIF(Diploma!$E$20:$E$83,DQ3)&gt;=1,"",ROW())</f>
        <v>3</v>
      </c>
      <c r="DS3" t="str">
        <f t="shared" ref="DS3:DS30" si="24">IF(ROW(DQ3)-ROW(DQ$2)+1&gt;COUNT(DR$2:DR$50),"",INDEX(DQ:DQ,SMALL(DR$2:DR$50,1+ROW(DQ3)-ROW(DQ$2))))</f>
        <v>Devising Performance Work</v>
      </c>
      <c r="DU3" t="s">
        <v>396</v>
      </c>
      <c r="DV3">
        <f>IF(COUNTIF(Diploma!$E$20:$E$83,DU3)&gt;=1,"",ROW())</f>
        <v>3</v>
      </c>
      <c r="DW3" t="str">
        <f t="shared" ref="DW3:DW12" si="25">IF(ROW(DU3)-ROW(DU$2)+1&gt;COUNT(DV$2:DV$50),"",INDEX(DU:DU,SMALL(DV$2:DV$50,1+ROW(DU3)-ROW(DU$2))))</f>
        <v>Devising Performance Work</v>
      </c>
      <c r="DY3" t="s">
        <v>402</v>
      </c>
      <c r="DZ3">
        <f>IF(COUNTIF(Diploma!$E$20:$E$83,DY3)&gt;=1,"",ROW())</f>
        <v>3</v>
      </c>
      <c r="EA3" t="str">
        <f t="shared" ref="EA3:EA15" si="26">IF(ROW(DY3)-ROW(DY$2)+1&gt;COUNT(DZ$2:DZ$50),"",INDEX(DY:DY,SMALL(DZ$2:DZ$50,1+ROW(DY3)-ROW(DY$2))))</f>
        <v>Exploring Urban Dance Styles</v>
      </c>
      <c r="EC3" t="s">
        <v>396</v>
      </c>
      <c r="ED3">
        <f>IF(COUNTIF(Diploma!$E$20:$E$83,EC3)&gt;=1,"",ROW())</f>
        <v>3</v>
      </c>
      <c r="EE3" t="str">
        <f t="shared" ref="EE3:EE11" si="27">IF(ROW(EC3)-ROW(EC$2)+1&gt;COUNT(ED$2:ED$50),"",INDEX(EC:EC,SMALL(ED$2:ED$50,1+ROW(EC3)-ROW(EC$2))))</f>
        <v>Devising Performance Work</v>
      </c>
      <c r="EG3" t="s">
        <v>400</v>
      </c>
      <c r="EH3">
        <f>IF(COUNTIF(Diploma!$E$20:$E$83,EG3)&gt;=1,"",ROW())</f>
        <v>3</v>
      </c>
      <c r="EI3" t="str">
        <f t="shared" ref="EI3:EI14" si="28">IF(ROW(EG3)-ROW(EG$2)+1&gt;COUNT(EH$2:EH$50),"",INDEX(EG:EG,SMALL(EH$2:EH$50,1+ROW(EG3)-ROW(EG$2))))</f>
        <v>Performing Scripted Plays</v>
      </c>
      <c r="EK3" t="s">
        <v>405</v>
      </c>
      <c r="EL3">
        <f>IF(COUNTIF(Diploma!$E$20:$E$83,EK3)&gt;=1,"",ROW())</f>
        <v>3</v>
      </c>
      <c r="EM3" t="str">
        <f t="shared" ref="EM3:EM16" si="29">IF(ROW(EK3)-ROW(EK$2)+1&gt;COUNT(EL$2:EL$50),"",INDEX(EK:EK,SMALL(EL$2:EL$50,1+ROW(EK3)-ROW(EK$2))))</f>
        <v>Realising Costume Design for Performance</v>
      </c>
      <c r="EO3" t="s">
        <v>396</v>
      </c>
      <c r="EP3">
        <f>IF(COUNTIF(Diploma!$E$20:$E$83,EO3)&gt;=1,"",ROW())</f>
        <v>3</v>
      </c>
      <c r="EQ3" t="str">
        <f t="shared" ref="EQ3:EQ10" si="30">IF(ROW(EO3)-ROW(EO$2)+1&gt;COUNT(EP$2:EP$50),"",INDEX(EO:EO,SMALL(EP$2:EP$50,1+ROW(EO3)-ROW(EO$2))))</f>
        <v>Devising Performance Work</v>
      </c>
      <c r="ES3" t="s">
        <v>439</v>
      </c>
      <c r="ET3">
        <f>IF(COUNTIF(Diploma!$E$20:$E$83,ES3)&gt;=1,"",ROW())</f>
        <v>3</v>
      </c>
      <c r="EU3" t="str">
        <f t="shared" ref="EU3:EU15" si="31">IF(ROW(ES3)-ROW(ES$2)+1&gt;COUNT(ET$2:ET$50),"",INDEX(ES:ES,SMALL(ET$2:ET$50,1+ROW(ES3)-ROW(ES$2))))</f>
        <v>Public Services and Community Protection</v>
      </c>
      <c r="EW3" t="s">
        <v>461</v>
      </c>
      <c r="EX3">
        <f>IF(COUNTIF(Diploma!$E$20:$E$83,EW3)&gt;=1,"",ROW())</f>
        <v>3</v>
      </c>
      <c r="EY3" t="str">
        <f t="shared" ref="EY3:EY9" si="32">IF(ROW(EW3)-ROW(EW$2)+1&gt;COUNT(EX$2:EX$50),"",INDEX(EW:EW,SMALL(EX$2:EX$50,1+ROW(EW3)-ROW(EW$2))))</f>
        <v>Facility Operations for Sport and Leisure</v>
      </c>
      <c r="FA3" t="s">
        <v>468</v>
      </c>
      <c r="FB3">
        <f>IF(COUNTIF(Diploma!$E$20:$E$83,FA3)&gt;=1,"",ROW())</f>
        <v>3</v>
      </c>
      <c r="FC3" t="str">
        <f t="shared" ref="FC3:FC10" si="33">IF(ROW(FA3)-ROW(FA$2)+1&gt;COUNT(FB$2:FB$50),"",INDEX(FA:FA,SMALL(FB$2:FB$50,1+ROW(FA3)-ROW(FA$2))))</f>
        <v>Promotion and Sponsorship in Sport</v>
      </c>
      <c r="FE3" t="s">
        <v>462</v>
      </c>
      <c r="FF3">
        <f>IF(COUNTIF(Diploma!$E$20:$E$83,FE3)&gt;=1,"",ROW())</f>
        <v>3</v>
      </c>
      <c r="FG3" t="str">
        <f>IF(ROW(FE3)-ROW(FE$2)+1&gt;COUNT(FF$2:FF$50),"",INDEX(FE:FE,SMALL(FF$2:FF$50,1+ROW(FE3)-ROW(FE$2))))</f>
        <v>Practical Land-based Outdoor and Adventurous Activities</v>
      </c>
      <c r="FI3" t="s">
        <v>468</v>
      </c>
      <c r="FJ3">
        <f>IF(COUNTIF(Diploma!$E$20:$E$83,FI3)&gt;=1,"",ROW())</f>
        <v>3</v>
      </c>
      <c r="FK3" t="str">
        <f t="shared" ref="FK3:FK13" si="34">IF(ROW(FI3)-ROW(FI$2)+1&gt;COUNT(FJ$2:FJ$50),"",INDEX(FI:FI,SMALL(FJ$2:FJ$50,1+ROW(FI3)-ROW(FI$2))))</f>
        <v>Promotion and Sponsorship in Sport</v>
      </c>
      <c r="FM3" t="s">
        <v>466</v>
      </c>
      <c r="FN3">
        <f>IF(COUNTIF(Diploma!$E$20:$E$83,FM3)&gt;=1,"",ROW())</f>
        <v>3</v>
      </c>
      <c r="FO3" t="str">
        <f>IF(ROW(FM3)-ROW(FM$2)+1&gt;COUNT(FN$2:FN$50),"",INDEX(FM:FM,SMALL(FN$2:FN$50,1+ROW(FM3)-ROW(FM$2))))</f>
        <v>Work Experience in Sport</v>
      </c>
      <c r="FQ3" t="s">
        <v>468</v>
      </c>
      <c r="FR3">
        <f>IF(COUNTIF(Diploma!$E$20:$E$83,FQ3)&gt;=1,"",ROW())</f>
        <v>3</v>
      </c>
      <c r="FS3" t="str">
        <f t="shared" ref="FS3:FS8" si="35">IF(ROW(FQ3)-ROW(FQ$2)+1&gt;COUNT(FR$2:FR$50),"",INDEX(FQ:FQ,SMALL(FR$2:FR$50,1+ROW(FQ3)-ROW(FQ$2))))</f>
        <v>Promotion and Sponsorship in Sport</v>
      </c>
      <c r="FU3" t="s">
        <v>490</v>
      </c>
      <c r="FV3">
        <f>IF(COUNTIF(Diploma!$E$20:$E$83,FU3)&gt;=1,"",ROW())</f>
        <v>3</v>
      </c>
      <c r="FW3" t="str">
        <f t="shared" ref="FW3:FW14" si="36">IF(ROW(FU3)-ROW(FU$2)+1&gt;COUNT(FV$2:FV$50),"",INDEX(FU:FU,SMALL(FV$2:FV$50,1+ROW(FU3)-ROW(FU$2))))</f>
        <v>Travel and Tourism Employment Opportunities</v>
      </c>
    </row>
    <row r="4" spans="1:179" x14ac:dyDescent="0.25">
      <c r="A4" t="s">
        <v>26</v>
      </c>
      <c r="B4">
        <f>IF(COUNTIF(Diploma!$E$20:$E$83,A4)&gt;=1,"",ROW())</f>
        <v>4</v>
      </c>
      <c r="C4" t="str">
        <f t="shared" si="1"/>
        <v>How Scientific Theories are Formulated</v>
      </c>
      <c r="E4" t="s">
        <v>115</v>
      </c>
      <c r="F4">
        <f>IF(COUNTIF(Diploma!$E$20:$E$83,E4)&gt;=1,"",ROW())</f>
        <v>4</v>
      </c>
      <c r="G4" t="str">
        <f t="shared" si="2"/>
        <v>Using Mobile Devices in Art and Design</v>
      </c>
      <c r="I4" t="s">
        <v>124</v>
      </c>
      <c r="J4">
        <f>IF(COUNTIF(Diploma!$E$20:$E$83,I4)&gt;=1,"",ROW())</f>
        <v>4</v>
      </c>
      <c r="K4" t="str">
        <f t="shared" si="3"/>
        <v>3D Design Briefs</v>
      </c>
      <c r="M4" t="s">
        <v>121</v>
      </c>
      <c r="N4">
        <f>IF(COUNTIF(Diploma!$E$20:$E$83,M4)&gt;=1,"",ROW())</f>
        <v>4</v>
      </c>
      <c r="O4" t="str">
        <f t="shared" si="4"/>
        <v>Photography Briefs</v>
      </c>
      <c r="Q4" t="s">
        <v>115</v>
      </c>
      <c r="R4">
        <f>IF(COUNTIF(Diploma!$E$20:$E$83,Q4)&gt;=1,"",ROW())</f>
        <v>4</v>
      </c>
      <c r="S4" t="str">
        <f t="shared" si="5"/>
        <v>Using Mobile Devices in Art and Design</v>
      </c>
      <c r="U4" t="s">
        <v>115</v>
      </c>
      <c r="V4">
        <f>IF(COUNTIF(Diploma!$E$20:$E$83,U4)&gt;=1,"",ROW())</f>
        <v>4</v>
      </c>
      <c r="W4" t="str">
        <f t="shared" si="6"/>
        <v>Using Mobile Devices in Art and Design</v>
      </c>
      <c r="Y4" t="s">
        <v>123</v>
      </c>
      <c r="Z4">
        <f>IF(COUNTIF(Diploma!$E$20:$E$83,Y4)&gt;=1,"",ROW())</f>
        <v>4</v>
      </c>
      <c r="AA4" t="str">
        <f t="shared" si="7"/>
        <v>Art, Craft and Design in the Creative Industries</v>
      </c>
      <c r="AC4" t="s">
        <v>117</v>
      </c>
      <c r="AD4">
        <f>IF(COUNTIF(Diploma!$E$20:$E$83,AC4)&gt;=1,"",ROW())</f>
        <v>4</v>
      </c>
      <c r="AE4" t="str">
        <f t="shared" si="8"/>
        <v>Fashion Briefs</v>
      </c>
      <c r="AG4" t="s">
        <v>160</v>
      </c>
      <c r="AH4">
        <f>IF(COUNTIF(Diploma!$E$20:$E$83,AG4)&gt;=1,"",ROW())</f>
        <v>4</v>
      </c>
      <c r="AI4" t="str">
        <f t="shared" si="9"/>
        <v>Introducing Retail Business</v>
      </c>
      <c r="AK4" t="s">
        <v>192</v>
      </c>
      <c r="AL4">
        <f>IF(COUNTIF(Diploma!$E$20:$E$83,AK4)&gt;=1,"",ROW())</f>
        <v>4</v>
      </c>
      <c r="AM4" t="str">
        <f t="shared" si="10"/>
        <v>Exploring Brickwork and Blockwork Principles and Techniques</v>
      </c>
      <c r="AO4" t="s">
        <v>219</v>
      </c>
      <c r="AP4">
        <f>IF(COUNTIF(Diploma!$E$20:$E$83,AO4)&gt;=1,"",ROW())</f>
        <v>4</v>
      </c>
      <c r="AQ4" t="str">
        <f t="shared" si="11"/>
        <v>Digital Publishing Production</v>
      </c>
      <c r="AS4" t="s">
        <v>243</v>
      </c>
      <c r="AT4">
        <f>IF(COUNTIF(Diploma!$E$20:$E$83,AS4)&gt;=1,"",ROW())</f>
        <v>4</v>
      </c>
      <c r="AU4" t="str">
        <f>IF(ROW(AS4)-ROW(AS$2)+1&gt;COUNT(AT$2:AT$50),"",INDEX(AS:AS,SMALL(AT$2:AT$50,1+ROW(AS4)-ROW(AS$2))))</f>
        <v>Engineering Design</v>
      </c>
      <c r="AW4" t="s">
        <v>248</v>
      </c>
      <c r="AX4">
        <f>IF(COUNTIF(Diploma!$E$20:$E$83,AW4)&gt;=1,"",ROW())</f>
        <v>4</v>
      </c>
      <c r="AY4" t="str">
        <f t="shared" si="12"/>
        <v>Electrical and Mechanical Science for Engineering</v>
      </c>
      <c r="BE4" t="s">
        <v>242</v>
      </c>
      <c r="BF4">
        <f>IF(COUNTIF(Diploma!$E$20:$E$83,BE4)&gt;=1,"",ROW())</f>
        <v>4</v>
      </c>
      <c r="BG4" t="str">
        <f t="shared" si="13"/>
        <v>Electronic Circuit Design and Construction</v>
      </c>
      <c r="BI4" t="s">
        <v>259</v>
      </c>
      <c r="BJ4">
        <f>IF(COUNTIF(Diploma!$E$20:$E$83,BI4)&gt;=1,"",ROW())</f>
        <v>4</v>
      </c>
      <c r="BK4" t="str">
        <f>IF(ROW(BI4)-ROW(BI$2)+1&gt;COUNT(BJ$2:BJ$50),"",INDEX(BI:BI,SMALL(BJ$2:BJ$50,1+ROW(BI4)-ROW(BI$2))))</f>
        <v>Operation and Maintenance of Electrical Systems and Components</v>
      </c>
      <c r="BM4" t="s">
        <v>249</v>
      </c>
      <c r="BN4">
        <f>IF(COUNTIF(Diploma!$E$20:$E$83,BM4)&gt;=1,"",ROW())</f>
        <v>4</v>
      </c>
      <c r="BO4" t="str">
        <f t="shared" si="14"/>
        <v>Engineering Assembly</v>
      </c>
      <c r="BQ4" t="s">
        <v>256</v>
      </c>
      <c r="BR4">
        <f>IF(COUNTIF(Diploma!$E$20:$E$83,BQ4)&gt;=1,"",ROW())</f>
        <v>4</v>
      </c>
      <c r="BS4" t="str">
        <f>IF(ROW(BQ4)-ROW(BQ$2)+1&gt;COUNT(BR$2:BR$50),"",INDEX(BQ:BQ,SMALL(BR$2:BR$50,1+ROW(BQ4)-ROW(BQ$2))))</f>
        <v>Electronic Devices and Communication Applications</v>
      </c>
      <c r="BU4" t="s">
        <v>241</v>
      </c>
      <c r="BV4">
        <f>IF(COUNTIF(Diploma!$E$20:$E$83,BU4)&gt;=1,"",ROW())</f>
        <v>4</v>
      </c>
      <c r="BW4" t="str">
        <f t="shared" si="15"/>
        <v>Machining Techniques</v>
      </c>
      <c r="BY4" t="s">
        <v>262</v>
      </c>
      <c r="BZ4">
        <f>IF(COUNTIF(Diploma!$E$20:$E$83,BY4)&gt;=1,"",ROW())</f>
        <v>4</v>
      </c>
      <c r="CA4" t="str">
        <f>IF(ROW(BY4)-ROW(BY$2)+1&gt;COUNT(BZ$2:BZ$50),"",INDEX(BY:BY,SMALL(BZ$2:BZ$50,1+ROW(BY4)-ROW(BY$2))))</f>
        <v>Casting Techniques</v>
      </c>
      <c r="CC4" t="s">
        <v>248</v>
      </c>
      <c r="CD4">
        <f>IF(COUNTIF(Diploma!$E$20:$E$83,CC4)&gt;=1,"",ROW())</f>
        <v>4</v>
      </c>
      <c r="CE4" t="str">
        <f t="shared" si="16"/>
        <v>Electrical and Mechanical Science for Engineering</v>
      </c>
      <c r="CG4" t="s">
        <v>288</v>
      </c>
      <c r="CH4">
        <f>IF(OR(COUNTIF(Diploma!$E$20:$E$83,CG4)&gt;=1,COUNTIF(Diploma!$E$20:$E$83,CG5)&gt;=1),"",ROW())</f>
        <v>4</v>
      </c>
      <c r="CI4" t="str">
        <f t="shared" si="17"/>
        <v>Vocational Experience in Health and Social Care</v>
      </c>
      <c r="CK4" t="s">
        <v>296</v>
      </c>
      <c r="CL4">
        <f>IF(COUNTIF(Diploma!$E$20:$E$83,CK4)&gt;=1,"",ROW())</f>
        <v>4</v>
      </c>
      <c r="CM4" t="str">
        <f t="shared" si="18"/>
        <v>The Impact of Nutrition on Health and Wellbeing</v>
      </c>
      <c r="CO4" t="s">
        <v>312</v>
      </c>
      <c r="CP4">
        <f>IF(COUNTIF(Diploma!$E$20:$E$83,CO4)&gt;=1,"",ROW())</f>
        <v>4</v>
      </c>
      <c r="CQ4" t="str">
        <f t="shared" si="0"/>
        <v>Planning, Preparing, Cooking and Finishing Food</v>
      </c>
      <c r="CS4" t="s">
        <v>335</v>
      </c>
      <c r="CT4">
        <f>IF(COUNTIF(Diploma!$E$20:$E$83,CS4)&gt;=1,"",ROW())</f>
        <v>4</v>
      </c>
      <c r="CU4" t="str">
        <f t="shared" si="19"/>
        <v>Software Development</v>
      </c>
      <c r="CW4" t="s">
        <v>346</v>
      </c>
      <c r="CX4">
        <f>IF(COUNTIF(Diploma!$E$20:$E$83,CW4)&gt;=1,"",ROW())</f>
        <v>4</v>
      </c>
      <c r="CY4" t="str">
        <f t="shared" si="20"/>
        <v>Creating Digital Graphics</v>
      </c>
      <c r="DA4" t="s">
        <v>346</v>
      </c>
      <c r="DB4">
        <f>IF(COUNTIF(Diploma!$E$20:$E$83,DA4)&gt;=1,"",ROW())</f>
        <v>4</v>
      </c>
      <c r="DC4" t="str">
        <f t="shared" si="21"/>
        <v>Creating Digital Graphics</v>
      </c>
      <c r="DE4" t="s">
        <v>346</v>
      </c>
      <c r="DF4">
        <f>IF(COUNTIF(Diploma!$E$20:$E$83,DE4)&gt;=1,"",ROW())</f>
        <v>4</v>
      </c>
      <c r="DG4" t="str">
        <f t="shared" si="22"/>
        <v>Creating Digital Graphics</v>
      </c>
      <c r="DI4" t="s">
        <v>364</v>
      </c>
      <c r="DJ4">
        <f>IF(COUNTIF(Diploma!$E$20:$E$83,DI4)&gt;=1,"",ROW())</f>
        <v>4</v>
      </c>
      <c r="DK4" t="str">
        <f t="shared" si="23"/>
        <v>Introducing Music Performance</v>
      </c>
      <c r="DM4" t="s">
        <v>392</v>
      </c>
      <c r="DN4">
        <f>IF(COUNTIF(Diploma!$E$20:$E$83,DM4)&gt;=1,"",ROW())</f>
        <v>4</v>
      </c>
      <c r="DO4" t="str">
        <f>IF(ROW(DM4)-ROW(DM$2)+1&gt;COUNT(DN$2:DN$50),"",INDEX(DM:DM,SMALL(DN$2:DN$50,1+ROW(DM4)-ROW(DM$2))))</f>
        <v>Musical Theatre Skills</v>
      </c>
      <c r="DQ4" t="s">
        <v>397</v>
      </c>
      <c r="DR4">
        <f>IF(COUNTIF(Diploma!$E$20:$E$83,DQ4)&gt;=1,"",ROW())</f>
        <v>4</v>
      </c>
      <c r="DS4" t="str">
        <f t="shared" si="24"/>
        <v>Exploring Improvisation</v>
      </c>
      <c r="DU4" t="s">
        <v>397</v>
      </c>
      <c r="DV4">
        <f>IF(COUNTIF(Diploma!$E$20:$E$83,DU4)&gt;=1,"",ROW())</f>
        <v>4</v>
      </c>
      <c r="DW4" t="str">
        <f t="shared" si="25"/>
        <v>Exploring Improvisation</v>
      </c>
      <c r="DY4" t="s">
        <v>403</v>
      </c>
      <c r="DZ4">
        <f>IF(COUNTIF(Diploma!$E$20:$E$83,DY4)&gt;=1,"",ROW())</f>
        <v>4</v>
      </c>
      <c r="EA4" t="str">
        <f t="shared" si="26"/>
        <v>Jazz Dance Techniques</v>
      </c>
      <c r="EC4" t="s">
        <v>397</v>
      </c>
      <c r="ED4">
        <f>IF(COUNTIF(Diploma!$E$20:$E$83,EC4)&gt;=1,"",ROW())</f>
        <v>4</v>
      </c>
      <c r="EE4" t="str">
        <f t="shared" si="27"/>
        <v>Exploring Improvisation</v>
      </c>
      <c r="EG4" t="s">
        <v>404</v>
      </c>
      <c r="EH4">
        <f>IF(COUNTIF(Diploma!$E$20:$E$83,EG4)&gt;=1,"",ROW())</f>
        <v>4</v>
      </c>
      <c r="EI4" t="str">
        <f t="shared" si="28"/>
        <v>Design Planning for Performance</v>
      </c>
      <c r="EK4" t="s">
        <v>406</v>
      </c>
      <c r="EL4">
        <f>IF(COUNTIF(Diploma!$E$20:$E$83,EK4)&gt;=1,"",ROW())</f>
        <v>4</v>
      </c>
      <c r="EM4" t="str">
        <f t="shared" si="29"/>
        <v>Realising Set Design for Performance</v>
      </c>
      <c r="EO4" t="s">
        <v>397</v>
      </c>
      <c r="EP4">
        <f>IF(COUNTIF(Diploma!$E$20:$E$83,EO4)&gt;=1,"",ROW())</f>
        <v>4</v>
      </c>
      <c r="EQ4" t="str">
        <f t="shared" si="30"/>
        <v>Exploring Improvisation</v>
      </c>
      <c r="ES4" t="s">
        <v>440</v>
      </c>
      <c r="ET4">
        <f>IF(COUNTIF(Diploma!$E$20:$E$83,ES4)&gt;=1,"",ROW())</f>
        <v>4</v>
      </c>
      <c r="EU4" t="str">
        <f t="shared" si="31"/>
        <v>Health, Fitness and Lifestyle for the Public Services</v>
      </c>
      <c r="EW4" t="s">
        <v>452</v>
      </c>
      <c r="EX4">
        <f>IF(COUNTIF(Diploma!$E$20:$E$83,EW4)&gt;=1,"",ROW())</f>
        <v>4</v>
      </c>
      <c r="EY4" t="str">
        <f t="shared" si="32"/>
        <v>Expedition Experience</v>
      </c>
      <c r="FA4" t="s">
        <v>469</v>
      </c>
      <c r="FB4">
        <f>IF(COUNTIF(Diploma!$E$20:$E$83,FA4)&gt;=1,"",ROW())</f>
        <v>4</v>
      </c>
      <c r="FC4" t="str">
        <f t="shared" si="33"/>
        <v>Lifestyle and Well-being</v>
      </c>
      <c r="FE4" t="s">
        <v>463</v>
      </c>
      <c r="FF4">
        <f>IF(COUNTIF(Diploma!$E$20:$E$83,FE4)&gt;=1,"",ROW())</f>
        <v>4</v>
      </c>
      <c r="FG4" t="str">
        <f>IF(ROW(FE4)-ROW(FE$2)+1&gt;COUNT(FF$2:FF$50),"",INDEX(FE:FE,SMALL(FF$2:FF$50,1+ROW(FE4)-ROW(FE$2))))</f>
        <v>Practical Water-based Outdoor and Adventurous Activities</v>
      </c>
      <c r="FI4" t="s">
        <v>469</v>
      </c>
      <c r="FJ4">
        <f>IF(COUNTIF(Diploma!$E$20:$E$83,FI4)&gt;=1,"",ROW())</f>
        <v>4</v>
      </c>
      <c r="FK4" t="str">
        <f t="shared" si="34"/>
        <v>Lifestyle and Well-being</v>
      </c>
      <c r="FQ4" t="s">
        <v>471</v>
      </c>
      <c r="FR4">
        <f>IF(COUNTIF(Diploma!$E$20:$E$83,FQ4)&gt;=1,"",ROW())</f>
        <v>4</v>
      </c>
      <c r="FS4" t="str">
        <f t="shared" si="35"/>
        <v>Running a Sports Event</v>
      </c>
      <c r="FU4" t="s">
        <v>491</v>
      </c>
      <c r="FV4">
        <f>IF(COUNTIF(Diploma!$E$20:$E$83,FU4)&gt;=1,"",ROW())</f>
        <v>4</v>
      </c>
      <c r="FW4" t="str">
        <f t="shared" si="36"/>
        <v>Organising a Travel and Tourism Study Visit</v>
      </c>
    </row>
    <row r="5" spans="1:179" x14ac:dyDescent="0.25">
      <c r="A5" t="s">
        <v>27</v>
      </c>
      <c r="B5">
        <f>IF(COUNTIF(Diploma!$E$20:$E$83,A5)&gt;=1,"",ROW())</f>
        <v>5</v>
      </c>
      <c r="C5" t="str">
        <f t="shared" si="1"/>
        <v>The Living Body</v>
      </c>
      <c r="E5" t="s">
        <v>116</v>
      </c>
      <c r="F5">
        <f>IF(OR(COUNTIF(Diploma!$E$20:$E$83,E5)&gt;=1,COUNTIF(Diploma!$E$20:$E$83,E3)&gt;=1),"",ROW())</f>
        <v>5</v>
      </c>
      <c r="G5" t="str">
        <f t="shared" si="2"/>
        <v>Design Crafts Briefs</v>
      </c>
      <c r="I5" t="s">
        <v>128</v>
      </c>
      <c r="J5">
        <f>IF(COUNTIF(Diploma!$E$20:$E$83,I5)&gt;=1,"",ROW())</f>
        <v>5</v>
      </c>
      <c r="K5" t="str">
        <f t="shared" si="3"/>
        <v>Designing Products</v>
      </c>
      <c r="M5" t="s">
        <v>122</v>
      </c>
      <c r="N5">
        <f>IF(COUNTIF(Diploma!$E$20:$E$83,M5)&gt;=1,"",ROW())</f>
        <v>5</v>
      </c>
      <c r="O5" t="str">
        <f t="shared" si="4"/>
        <v>Designing for the Future</v>
      </c>
      <c r="Q5" t="s">
        <v>123</v>
      </c>
      <c r="R5">
        <f>IF(COUNTIF(Diploma!$E$20:$E$83,Q5)&gt;=1,"",ROW())</f>
        <v>5</v>
      </c>
      <c r="S5" t="str">
        <f t="shared" si="5"/>
        <v>Art, Craft and Design in the Creative Industries</v>
      </c>
      <c r="U5" t="s">
        <v>117</v>
      </c>
      <c r="V5">
        <f>IF(COUNTIF(Diploma!$E$20:$E$83,U5)&gt;=1,"",ROW())</f>
        <v>5</v>
      </c>
      <c r="W5" t="str">
        <f t="shared" si="6"/>
        <v>Fashion Briefs</v>
      </c>
      <c r="Y5" t="s">
        <v>125</v>
      </c>
      <c r="Z5">
        <f>IF(COUNTIF(Diploma!$E$20:$E$83,Y5)&gt;=1,"",ROW())</f>
        <v>5</v>
      </c>
      <c r="AA5" t="str">
        <f t="shared" si="7"/>
        <v>Digital Art and Design Briefs</v>
      </c>
      <c r="AC5" t="s">
        <v>121</v>
      </c>
      <c r="AD5">
        <f>IF(COUNTIF(Diploma!$E$20:$E$83,AC5)&gt;=1,"",ROW())</f>
        <v>5</v>
      </c>
      <c r="AE5" t="str">
        <f t="shared" si="8"/>
        <v>Photography Briefs</v>
      </c>
      <c r="AG5" t="s">
        <v>161</v>
      </c>
      <c r="AH5">
        <f>IF(COUNTIF(Diploma!$E$20:$E$83,AG5)&gt;=1,"",ROW())</f>
        <v>5</v>
      </c>
      <c r="AI5" t="str">
        <f t="shared" si="9"/>
        <v>Providing Business Support</v>
      </c>
      <c r="AK5" t="s">
        <v>193</v>
      </c>
      <c r="AL5">
        <f>IF(COUNTIF(Diploma!$E$20:$E$83,AK5)&gt;=1,"",ROW())</f>
        <v>5</v>
      </c>
      <c r="AM5" t="str">
        <f t="shared" si="10"/>
        <v>Exploring Painting and Decorating Principles and Techniques</v>
      </c>
      <c r="AO5" t="s">
        <v>220</v>
      </c>
      <c r="AP5">
        <f>IF(COUNTIF(Diploma!$E$20:$E$83,AO5)&gt;=1,"",ROW())</f>
        <v>5</v>
      </c>
      <c r="AQ5" t="str">
        <f t="shared" si="11"/>
        <v>Website Production</v>
      </c>
      <c r="AS5" t="s">
        <v>244</v>
      </c>
      <c r="AT5">
        <f>IF(COUNTIF(Diploma!$E$20:$E$83,AS5)&gt;=1,"",ROW())</f>
        <v>5</v>
      </c>
      <c r="AU5" t="str">
        <f>IF(ROW(AS5)-ROW(AS$2)+1&gt;COUNT(AT$2:AT$50),"",INDEX(AS:AS,SMALL(AT$2:AT$50,1+ROW(AS5)-ROW(AS$2))))</f>
        <v>Operating an Efficient Workplace</v>
      </c>
      <c r="AW5" t="s">
        <v>249</v>
      </c>
      <c r="AX5">
        <f>IF(COUNTIF(Diploma!$E$20:$E$83,AW5)&gt;=1,"",ROW())</f>
        <v>5</v>
      </c>
      <c r="AY5" t="str">
        <f t="shared" si="12"/>
        <v>Engineering Assembly</v>
      </c>
      <c r="BE5" t="s">
        <v>248</v>
      </c>
      <c r="BF5">
        <f>IF(COUNTIF(Diploma!$E$20:$E$83,BE5)&gt;=1,"",ROW())</f>
        <v>5</v>
      </c>
      <c r="BG5" t="str">
        <f t="shared" si="13"/>
        <v>Electrical and Mechanical Science for Engineering</v>
      </c>
      <c r="BI5" t="s">
        <v>260</v>
      </c>
      <c r="BJ5">
        <f>IF(COUNTIF(Diploma!$E$20:$E$83,BI5)&gt;=1,"",ROW())</f>
        <v>5</v>
      </c>
      <c r="BK5" t="str">
        <f>IF(ROW(BI5)-ROW(BI$2)+1&gt;COUNT(BJ$2:BJ$50),"",INDEX(BI:BI,SMALL(BJ$2:BJ$50,1+ROW(BI5)-ROW(BI$2))))</f>
        <v>Operation and Maintenance of Fluid Power Systems and Components</v>
      </c>
      <c r="BM5" t="s">
        <v>250</v>
      </c>
      <c r="BN5">
        <f>IF(COUNTIF(Diploma!$E$20:$E$83,BM5)&gt;=1,"",ROW())</f>
        <v>5</v>
      </c>
      <c r="BO5" t="str">
        <f t="shared" si="14"/>
        <v>Vehicle Engines and Other Systems</v>
      </c>
      <c r="BU5" t="s">
        <v>248</v>
      </c>
      <c r="BV5">
        <f>IF(COUNTIF(Diploma!$E$20:$E$83,BU5)&gt;=1,"",ROW())</f>
        <v>5</v>
      </c>
      <c r="BW5" t="str">
        <f t="shared" si="15"/>
        <v>Electrical and Mechanical Science for Engineering</v>
      </c>
      <c r="CC5" t="s">
        <v>243</v>
      </c>
      <c r="CD5">
        <f>IF(COUNTIF(Diploma!$E$20:$E$83,CC5)&gt;=1,"",ROW())</f>
        <v>5</v>
      </c>
      <c r="CE5" t="str">
        <f t="shared" si="16"/>
        <v>Engineering Design</v>
      </c>
      <c r="CG5" t="s">
        <v>289</v>
      </c>
      <c r="CH5">
        <f>IF(OR(COUNTIF(Diploma!$E$20:$E$83,CG5)&gt;=1,COUNTIF(Diploma!$E$20:$E$83,CG4)&gt;=1),"",ROW())</f>
        <v>5</v>
      </c>
      <c r="CI5" t="str">
        <f t="shared" si="17"/>
        <v>Community Volunteering in Health and Social Care</v>
      </c>
      <c r="CK5" t="s">
        <v>297</v>
      </c>
      <c r="CL5">
        <f>IF(COUNTIF(Diploma!$E$20:$E$83,CK5)&gt;=1,"",ROW())</f>
        <v>5</v>
      </c>
      <c r="CM5" t="str">
        <f t="shared" si="18"/>
        <v>Services in Health and Social Care</v>
      </c>
      <c r="CO5" t="s">
        <v>313</v>
      </c>
      <c r="CP5">
        <f>IF(COUNTIF(Diploma!$E$20:$E$83,CO5)&gt;=1,"",ROW())</f>
        <v>5</v>
      </c>
      <c r="CQ5" t="str">
        <f t="shared" si="0"/>
        <v>Food and Beverage Service in the Hospitality Industry</v>
      </c>
      <c r="CS5" t="s">
        <v>336</v>
      </c>
      <c r="CT5">
        <f>IF(COUNTIF(Diploma!$E$20:$E$83,CS5)&gt;=1,"",ROW())</f>
        <v>5</v>
      </c>
      <c r="CU5" t="str">
        <f t="shared" si="19"/>
        <v>Website Development</v>
      </c>
      <c r="CW5" t="s">
        <v>347</v>
      </c>
      <c r="CX5">
        <f>IF(COUNTIF(Diploma!$E$20:$E$83,CW5)&gt;=1,"",ROW())</f>
        <v>5</v>
      </c>
      <c r="CY5" t="str">
        <f t="shared" si="20"/>
        <v>Creating Digital Video</v>
      </c>
      <c r="DA5" t="s">
        <v>347</v>
      </c>
      <c r="DB5">
        <f>IF(COUNTIF(Diploma!$E$20:$E$83,DA5)&gt;=1,"",ROW())</f>
        <v>5</v>
      </c>
      <c r="DC5" t="str">
        <f t="shared" si="21"/>
        <v>Creating Digital Video</v>
      </c>
      <c r="DE5" t="s">
        <v>347</v>
      </c>
      <c r="DF5">
        <f>IF(COUNTIF(Diploma!$E$20:$E$83,DE5)&gt;=1,"",ROW())</f>
        <v>5</v>
      </c>
      <c r="DG5" t="str">
        <f t="shared" si="22"/>
        <v>Creating Digital Video</v>
      </c>
      <c r="DI5" t="s">
        <v>365</v>
      </c>
      <c r="DJ5">
        <f>IF(COUNTIF(Diploma!$E$20:$E$83,DI5)&gt;=1,"",ROW())</f>
        <v>5</v>
      </c>
      <c r="DK5" t="str">
        <f t="shared" si="23"/>
        <v>Introducing Music Recording</v>
      </c>
      <c r="DM5" t="s">
        <v>393</v>
      </c>
      <c r="DN5">
        <f>IF(COUNTIF(Diploma!$E$20:$E$83,DM5)&gt;=1,"",ROW())</f>
        <v>5</v>
      </c>
      <c r="DO5" t="str">
        <f>IF(ROW(DM5)-ROW(DM$2)+1&gt;COUNT(DN$2:DN$50),"",INDEX(DM:DM,SMALL(DN$2:DN$50,1+ROW(DM5)-ROW(DM$2))))</f>
        <v>Music Performance Skills</v>
      </c>
      <c r="DQ5" t="s">
        <v>398</v>
      </c>
      <c r="DR5">
        <f>IF(COUNTIF(Diploma!$E$20:$E$83,DQ5)&gt;=1,"",ROW())</f>
        <v>5</v>
      </c>
      <c r="DS5" t="str">
        <f t="shared" si="24"/>
        <v>Multimedia Performance</v>
      </c>
      <c r="DU5" t="s">
        <v>398</v>
      </c>
      <c r="DV5">
        <f>IF(COUNTIF(Diploma!$E$20:$E$83,DU5)&gt;=1,"",ROW())</f>
        <v>5</v>
      </c>
      <c r="DW5" t="str">
        <f t="shared" si="25"/>
        <v>Multimedia Performance</v>
      </c>
      <c r="DY5" t="s">
        <v>404</v>
      </c>
      <c r="DZ5">
        <f>IF(COUNTIF(Diploma!$E$20:$E$83,DY5)&gt;=1,"",ROW())</f>
        <v>5</v>
      </c>
      <c r="EA5" t="str">
        <f t="shared" si="26"/>
        <v>Design Planning for Performance</v>
      </c>
      <c r="EC5" t="s">
        <v>401</v>
      </c>
      <c r="ED5">
        <f>IF(COUNTIF(Diploma!$E$20:$E$83,EC5)&gt;=1,"",ROW())</f>
        <v>5</v>
      </c>
      <c r="EE5" t="str">
        <f t="shared" si="27"/>
        <v>Contemporary Dance Techniques</v>
      </c>
      <c r="EG5" t="s">
        <v>405</v>
      </c>
      <c r="EH5">
        <f>IF(COUNTIF(Diploma!$E$20:$E$83,EG5)&gt;=1,"",ROW())</f>
        <v>5</v>
      </c>
      <c r="EI5" t="str">
        <f t="shared" si="28"/>
        <v>Realising Costume Design for Performance</v>
      </c>
      <c r="EK5" t="s">
        <v>407</v>
      </c>
      <c r="EL5">
        <f>IF(COUNTIF(Diploma!$E$20:$E$83,EK5)&gt;=1,"",ROW())</f>
        <v>5</v>
      </c>
      <c r="EM5" t="str">
        <f t="shared" si="29"/>
        <v>Realising Prop Design for Performance</v>
      </c>
      <c r="EO5" t="s">
        <v>398</v>
      </c>
      <c r="EP5">
        <f>IF(COUNTIF(Diploma!$E$20:$E$83,EO5)&gt;=1,"",ROW())</f>
        <v>5</v>
      </c>
      <c r="EQ5" t="str">
        <f t="shared" si="30"/>
        <v>Multimedia Performance</v>
      </c>
      <c r="ES5" t="s">
        <v>441</v>
      </c>
      <c r="ET5">
        <f>IF(COUNTIF(Diploma!$E$20:$E$83,ES5)&gt;=1,"",ROW())</f>
        <v>5</v>
      </c>
      <c r="EU5" t="str">
        <f t="shared" si="31"/>
        <v>Promotion of Public Services Provision</v>
      </c>
      <c r="EW5" t="s">
        <v>462</v>
      </c>
      <c r="EX5">
        <f>IF(COUNTIF(Diploma!$E$20:$E$83,EW5)&gt;=1,"",ROW())</f>
        <v>5</v>
      </c>
      <c r="EY5" t="str">
        <f t="shared" si="32"/>
        <v>Practical Land-based Outdoor and Adventurous Activities</v>
      </c>
      <c r="FA5" t="s">
        <v>470</v>
      </c>
      <c r="FB5">
        <f>IF(COUNTIF(Diploma!$E$20:$E$83,FA5)&gt;=1,"",ROW())</f>
        <v>5</v>
      </c>
      <c r="FC5" t="str">
        <f t="shared" si="33"/>
        <v>Injury and the Sports Performer</v>
      </c>
      <c r="FE5" t="s">
        <v>464</v>
      </c>
      <c r="FF5">
        <f>IF(COUNTIF(Diploma!$E$20:$E$83,FE5)&gt;=1,"",ROW())</f>
        <v>5</v>
      </c>
      <c r="FG5" t="str">
        <f>IF(ROW(FE5)-ROW(FE$2)+1&gt;COUNT(FF$2:FF$50),"",INDEX(FE:FE,SMALL(FF$2:FF$50,1+ROW(FE5)-ROW(FE$2))))</f>
        <v>Land-based Outdoor and Adventurous Activity Leadership</v>
      </c>
      <c r="FI5" t="s">
        <v>470</v>
      </c>
      <c r="FJ5">
        <f>IF(COUNTIF(Diploma!$E$20:$E$83,FI5)&gt;=1,"",ROW())</f>
        <v>5</v>
      </c>
      <c r="FK5" t="str">
        <f t="shared" si="34"/>
        <v>Injury and the Sports Performer</v>
      </c>
      <c r="FQ5" t="s">
        <v>472</v>
      </c>
      <c r="FR5">
        <f>IF(COUNTIF(Diploma!$E$20:$E$83,FQ5)&gt;=1,"",ROW())</f>
        <v>5</v>
      </c>
      <c r="FS5" t="str">
        <f t="shared" si="35"/>
        <v>The Sport and Active Leisure Industry</v>
      </c>
      <c r="FU5" t="s">
        <v>492</v>
      </c>
      <c r="FV5">
        <f>IF(COUNTIF(Diploma!$E$20:$E$83,FU5)&gt;=1,"",ROW())</f>
        <v>5</v>
      </c>
      <c r="FW5" t="str">
        <f t="shared" si="36"/>
        <v>Marketing in Travel and Tourism</v>
      </c>
    </row>
    <row r="6" spans="1:179" x14ac:dyDescent="0.25">
      <c r="A6" t="s">
        <v>28</v>
      </c>
      <c r="B6">
        <f>IF(COUNTIF(Diploma!$E$20:$E$83,A6)&gt;=1,"",ROW())</f>
        <v>6</v>
      </c>
      <c r="C6" t="str">
        <f t="shared" si="1"/>
        <v>Monitoring the Environment</v>
      </c>
      <c r="E6" t="s">
        <v>117</v>
      </c>
      <c r="F6">
        <f>IF(COUNTIF(Diploma!$E$20:$E$83,E6)&gt;=1,"",ROW())</f>
        <v>6</v>
      </c>
      <c r="G6" t="str">
        <f t="shared" si="2"/>
        <v>Fashion Briefs</v>
      </c>
      <c r="I6" t="s">
        <v>133</v>
      </c>
      <c r="J6">
        <f>IF(COUNTIF(Diploma!$E$20:$E$83,I6)&gt;=1,"",ROW())</f>
        <v>6</v>
      </c>
      <c r="K6" t="str">
        <f t="shared" si="3"/>
        <v>Printmaking Briefs</v>
      </c>
      <c r="M6" t="s">
        <v>123</v>
      </c>
      <c r="N6">
        <f>IF(COUNTIF(Diploma!$E$20:$E$83,M6)&gt;=1,"",ROW())</f>
        <v>6</v>
      </c>
      <c r="O6" t="str">
        <f t="shared" si="4"/>
        <v>Art, Craft and Design in the Creative Industries</v>
      </c>
      <c r="Q6" t="s">
        <v>125</v>
      </c>
      <c r="R6">
        <f>IF(COUNTIF(Diploma!$E$20:$E$83,Q6)&gt;=1,"",ROW())</f>
        <v>6</v>
      </c>
      <c r="S6" t="str">
        <f t="shared" si="5"/>
        <v>Digital Art and Design Briefs</v>
      </c>
      <c r="U6" t="s">
        <v>118</v>
      </c>
      <c r="V6">
        <f>IF(OR(COUNTIF(Diploma!$E$20:$E$83,U6)&gt;=1,COUNTIF(Diploma!$E$20:$E$83,U2)&gt;=1),"",ROW())</f>
        <v>6</v>
      </c>
      <c r="W6" t="str">
        <f t="shared" si="6"/>
        <v>Graphic Design Briefs</v>
      </c>
      <c r="Y6" t="s">
        <v>127</v>
      </c>
      <c r="Z6">
        <f>IF(COUNTIF(Diploma!$E$20:$E$83,Y6)&gt;=1,"",ROW())</f>
        <v>6</v>
      </c>
      <c r="AA6" t="str">
        <f t="shared" si="7"/>
        <v>Painting Briefs</v>
      </c>
      <c r="AC6" t="s">
        <v>122</v>
      </c>
      <c r="AD6">
        <f>IF(COUNTIF(Diploma!$E$20:$E$83,AC6)&gt;=1,"",ROW())</f>
        <v>6</v>
      </c>
      <c r="AE6" t="str">
        <f t="shared" si="8"/>
        <v>Designing for the Future</v>
      </c>
      <c r="AG6" t="s">
        <v>162</v>
      </c>
      <c r="AH6">
        <f>IF(OR(COUNTIF(Diploma!$E$20:$E$83,AG6)&gt;=1,COUNTIF(Diploma!$E$20:$E$83,AG19)&gt;=1),"",ROW())</f>
        <v>6</v>
      </c>
      <c r="AI6" t="str">
        <f t="shared" si="9"/>
        <v>Recruitment, Selection and Employment</v>
      </c>
      <c r="AK6" t="s">
        <v>194</v>
      </c>
      <c r="AL6">
        <f>IF(COUNTIF(Diploma!$E$20:$E$83,AK6)&gt;=1,"",ROW())</f>
        <v>6</v>
      </c>
      <c r="AM6" t="str">
        <f t="shared" si="10"/>
        <v>Exploring Plumbing Principles and Techniques</v>
      </c>
      <c r="AO6" t="s">
        <v>221</v>
      </c>
      <c r="AP6">
        <f>IF(COUNTIF(Diploma!$E$20:$E$83,AO6)&gt;=1,"",ROW())</f>
        <v>6</v>
      </c>
      <c r="AQ6" t="str">
        <f t="shared" si="11"/>
        <v>Digital Games Production</v>
      </c>
      <c r="AS6" t="s">
        <v>245</v>
      </c>
      <c r="AT6">
        <f>IF(COUNTIF(Diploma!$E$20:$E$83,AS6)&gt;=1,"",ROW())</f>
        <v>6</v>
      </c>
      <c r="AU6" t="str">
        <f>IF(ROW(AS6)-ROW(AS$2)+1&gt;COUNT(AT$2:AT$50),"",INDEX(AS:AS,SMALL(AT$2:AT$50,1+ROW(AS6)-ROW(AS$2))))</f>
        <v>Computer Numerical Control Programming</v>
      </c>
      <c r="AW6" t="s">
        <v>250</v>
      </c>
      <c r="AX6">
        <f>IF(COUNTIF(Diploma!$E$20:$E$83,AW6)&gt;=1,"",ROW())</f>
        <v>6</v>
      </c>
      <c r="AY6" t="str">
        <f t="shared" si="12"/>
        <v>Vehicle Engines and Other Systems</v>
      </c>
      <c r="BE6" t="s">
        <v>243</v>
      </c>
      <c r="BF6">
        <f>IF(COUNTIF(Diploma!$E$20:$E$83,BE6)&gt;=1,"",ROW())</f>
        <v>6</v>
      </c>
      <c r="BG6" t="str">
        <f t="shared" si="13"/>
        <v>Engineering Design</v>
      </c>
      <c r="BM6" t="s">
        <v>253</v>
      </c>
      <c r="BN6">
        <f>IF(COUNTIF(Diploma!$E$20:$E$83,BM6)&gt;=1,"",ROW())</f>
        <v>6</v>
      </c>
      <c r="BO6" t="str">
        <f t="shared" si="14"/>
        <v>Bicycle Servicing and Maintenance</v>
      </c>
      <c r="BU6" t="s">
        <v>243</v>
      </c>
      <c r="BV6">
        <f>IF(COUNTIF(Diploma!$E$20:$E$83,BU6)&gt;=1,"",ROW())</f>
        <v>6</v>
      </c>
      <c r="BW6" t="str">
        <f t="shared" si="15"/>
        <v>Engineering Design</v>
      </c>
      <c r="CC6" t="s">
        <v>249</v>
      </c>
      <c r="CD6">
        <f>IF(COUNTIF(Diploma!$E$20:$E$83,CC6)&gt;=1,"",ROW())</f>
        <v>6</v>
      </c>
      <c r="CE6" t="str">
        <f t="shared" si="16"/>
        <v>Engineering Assembly</v>
      </c>
      <c r="CG6" t="s">
        <v>290</v>
      </c>
      <c r="CH6">
        <f>IF(COUNTIF(Diploma!$E$20:$E$83,CG6)&gt;=1,"",ROW())</f>
        <v>6</v>
      </c>
      <c r="CI6" t="str">
        <f t="shared" si="17"/>
        <v>Child Development and Observation</v>
      </c>
      <c r="CK6" t="s">
        <v>298</v>
      </c>
      <c r="CL6">
        <f>IF(COUNTIF(Diploma!$E$20:$E$83,CK6)&gt;=1,"",ROW())</f>
        <v>6</v>
      </c>
      <c r="CM6" t="str">
        <f t="shared" si="18"/>
        <v>An Introduction to Basic First Aid</v>
      </c>
      <c r="CO6" t="s">
        <v>314</v>
      </c>
      <c r="CP6">
        <f>IF(COUNTIF(Diploma!$E$20:$E$83,CO6)&gt;=1,"",ROW())</f>
        <v>6</v>
      </c>
      <c r="CQ6" t="str">
        <f t="shared" si="0"/>
        <v>Front Office Services in the Hospitality Industry</v>
      </c>
      <c r="CS6" t="s">
        <v>337</v>
      </c>
      <c r="CT6">
        <f>IF(COUNTIF(Diploma!$E$20:$E$83,CS6)&gt;=1,"",ROW())</f>
        <v>6</v>
      </c>
      <c r="CU6" t="str">
        <f t="shared" si="19"/>
        <v>Installing and Maintaining Computer Hardware</v>
      </c>
      <c r="CW6" t="s">
        <v>348</v>
      </c>
      <c r="CX6">
        <f>IF(COUNTIF(Diploma!$E$20:$E$83,CW6)&gt;=1,"",ROW())</f>
        <v>6</v>
      </c>
      <c r="CY6" t="str">
        <f t="shared" si="20"/>
        <v>Mobile Apps Development</v>
      </c>
      <c r="DA6" t="s">
        <v>348</v>
      </c>
      <c r="DB6">
        <f>IF(COUNTIF(Diploma!$E$20:$E$83,DA6)&gt;=1,"",ROW())</f>
        <v>6</v>
      </c>
      <c r="DC6" t="str">
        <f t="shared" si="21"/>
        <v>Mobile Apps Development</v>
      </c>
      <c r="DE6" t="s">
        <v>348</v>
      </c>
      <c r="DF6">
        <f>IF(COUNTIF(Diploma!$E$20:$E$83,DE6)&gt;=1,"",ROW())</f>
        <v>6</v>
      </c>
      <c r="DG6" t="str">
        <f t="shared" si="22"/>
        <v>Mobile Apps Development</v>
      </c>
      <c r="DI6" t="s">
        <v>366</v>
      </c>
      <c r="DJ6">
        <f>IF(COUNTIF(Diploma!$E$20:$E$83,DI6)&gt;=1,"",ROW())</f>
        <v>6</v>
      </c>
      <c r="DK6" t="str">
        <f t="shared" si="23"/>
        <v>Introducing Music Sequencing</v>
      </c>
      <c r="DM6" t="s">
        <v>394</v>
      </c>
      <c r="DN6">
        <f>IF(COUNTIF(Diploma!$E$20:$E$83,DM6)&gt;=1,"",ROW())</f>
        <v>6</v>
      </c>
      <c r="DO6" t="str">
        <f>IF(ROW(DM6)-ROW(DM$2)+1&gt;COUNT(DN$2:DN$50),"",INDEX(DM:DM,SMALL(DN$2:DN$50,1+ROW(DM6)-ROW(DM$2))))</f>
        <v>Production Skills for Performance</v>
      </c>
      <c r="DQ6" t="s">
        <v>399</v>
      </c>
      <c r="DR6">
        <f>IF(COUNTIF(Diploma!$E$20:$E$83,DQ6)&gt;=1,"",ROW())</f>
        <v>6</v>
      </c>
      <c r="DS6" t="str">
        <f t="shared" si="24"/>
        <v>Voice and Speech for Performers</v>
      </c>
      <c r="DU6" t="s">
        <v>399</v>
      </c>
      <c r="DV6">
        <f>IF(COUNTIF(Diploma!$E$20:$E$83,DU6)&gt;=1,"",ROW())</f>
        <v>6</v>
      </c>
      <c r="DW6" t="str">
        <f t="shared" si="25"/>
        <v>Voice and Speech for Performers</v>
      </c>
      <c r="DY6" t="s">
        <v>405</v>
      </c>
      <c r="DZ6">
        <f>IF(COUNTIF(Diploma!$E$20:$E$83,DY6)&gt;=1,"",ROW())</f>
        <v>6</v>
      </c>
      <c r="EA6" t="str">
        <f t="shared" si="26"/>
        <v>Realising Costume Design for Performance</v>
      </c>
      <c r="EC6" t="s">
        <v>402</v>
      </c>
      <c r="ED6">
        <f>IF(COUNTIF(Diploma!$E$20:$E$83,EC6)&gt;=1,"",ROW())</f>
        <v>6</v>
      </c>
      <c r="EE6" t="str">
        <f t="shared" si="27"/>
        <v>Exploring Urban Dance Styles</v>
      </c>
      <c r="EG6" t="s">
        <v>406</v>
      </c>
      <c r="EH6">
        <f>IF(COUNTIF(Diploma!$E$20:$E$83,EG6)&gt;=1,"",ROW())</f>
        <v>6</v>
      </c>
      <c r="EI6" t="str">
        <f t="shared" si="28"/>
        <v>Realising Set Design for Performance</v>
      </c>
      <c r="EK6" t="s">
        <v>408</v>
      </c>
      <c r="EL6">
        <f>IF(COUNTIF(Diploma!$E$20:$E$83,EK6)&gt;=1,"",ROW())</f>
        <v>6</v>
      </c>
      <c r="EM6" t="str">
        <f t="shared" si="29"/>
        <v>Realising Mask Design for Performance</v>
      </c>
      <c r="EO6" t="s">
        <v>399</v>
      </c>
      <c r="EP6">
        <f>IF(COUNTIF(Diploma!$E$20:$E$83,EO6)&gt;=1,"",ROW())</f>
        <v>6</v>
      </c>
      <c r="EQ6" t="str">
        <f t="shared" si="30"/>
        <v>Voice and Speech for Performers</v>
      </c>
      <c r="ES6" t="s">
        <v>442</v>
      </c>
      <c r="ET6">
        <f>IF(COUNTIF(Diploma!$E$20:$E$83,ES6)&gt;=1,"",ROW())</f>
        <v>6</v>
      </c>
      <c r="EU6" t="str">
        <f t="shared" si="31"/>
        <v>Community and Cultural Awareness</v>
      </c>
      <c r="EW6" t="s">
        <v>463</v>
      </c>
      <c r="EX6">
        <f>IF(COUNTIF(Diploma!$E$20:$E$83,EW6)&gt;=1,"",ROW())</f>
        <v>6</v>
      </c>
      <c r="EY6" t="str">
        <f t="shared" si="32"/>
        <v>Practical Water-based Outdoor and Adventurous Activities</v>
      </c>
      <c r="FA6" t="s">
        <v>471</v>
      </c>
      <c r="FB6">
        <f>IF(COUNTIF(Diploma!$E$20:$E$83,FA6)&gt;=1,"",ROW())</f>
        <v>6</v>
      </c>
      <c r="FC6" t="str">
        <f t="shared" si="33"/>
        <v>Running a Sports Event</v>
      </c>
      <c r="FE6" t="s">
        <v>465</v>
      </c>
      <c r="FF6">
        <f>IF(COUNTIF(Diploma!$E$20:$E$83,FE6)&gt;=1,"",ROW())</f>
        <v>6</v>
      </c>
      <c r="FG6" t="str">
        <f>IF(ROW(FE6)-ROW(FE$2)+1&gt;COUNT(FF$2:FF$50),"",INDEX(FE:FE,SMALL(FF$2:FF$50,1+ROW(FE6)-ROW(FE$2))))</f>
        <v>Water-based Outdoor and Adventurous Activity Leadership</v>
      </c>
      <c r="FI6" t="s">
        <v>471</v>
      </c>
      <c r="FJ6">
        <f>IF(COUNTIF(Diploma!$E$20:$E$83,FI6)&gt;=1,"",ROW())</f>
        <v>6</v>
      </c>
      <c r="FK6" t="str">
        <f t="shared" si="34"/>
        <v>Running a Sports Event</v>
      </c>
      <c r="FQ6" t="s">
        <v>473</v>
      </c>
      <c r="FR6">
        <f>IF(COUNTIF(Diploma!$E$20:$E$83,FQ6)&gt;=1,"",ROW())</f>
        <v>6</v>
      </c>
      <c r="FS6" t="str">
        <f t="shared" si="35"/>
        <v>Profiling Sports Performance</v>
      </c>
      <c r="FU6" t="s">
        <v>493</v>
      </c>
      <c r="FV6">
        <f>IF(COUNTIF(Diploma!$E$20:$E$83,FU6)&gt;=1,"",ROW())</f>
        <v>6</v>
      </c>
      <c r="FW6" t="str">
        <f t="shared" si="36"/>
        <v>Airports and Airlines</v>
      </c>
    </row>
    <row r="7" spans="1:179" x14ac:dyDescent="0.25">
      <c r="A7" t="s">
        <v>29</v>
      </c>
      <c r="B7">
        <f>IF(COUNTIF(Diploma!$E$20:$E$83,A7)&gt;=1,"",ROW())</f>
        <v>7</v>
      </c>
      <c r="C7" t="str">
        <f t="shared" si="1"/>
        <v>Growing Plants for Food</v>
      </c>
      <c r="E7" t="s">
        <v>118</v>
      </c>
      <c r="F7">
        <f>IF(OR(COUNTIF(Diploma!$E$20:$E$83,E7)&gt;=1,COUNTIF(Diploma!$E$20:$E$83,E2)&gt;=1),"",ROW())</f>
        <v>7</v>
      </c>
      <c r="G7" t="str">
        <f t="shared" si="2"/>
        <v>Graphic Design Briefs</v>
      </c>
      <c r="I7" t="s">
        <v>134</v>
      </c>
      <c r="J7">
        <f>IF(COUNTIF(Diploma!$E$20:$E$83,I7)&gt;=1,"",ROW())</f>
        <v>7</v>
      </c>
      <c r="K7" t="str">
        <f t="shared" si="3"/>
        <v>Drawing from Observation</v>
      </c>
      <c r="M7" t="s">
        <v>128</v>
      </c>
      <c r="N7">
        <f>IF(COUNTIF(Diploma!$E$20:$E$83,M7)&gt;=1,"",ROW())</f>
        <v>7</v>
      </c>
      <c r="O7" t="str">
        <f t="shared" si="4"/>
        <v>Designing Products</v>
      </c>
      <c r="Q7" t="s">
        <v>131</v>
      </c>
      <c r="R7">
        <f>IF(COUNTIF(Diploma!$E$20:$E$83,Q7)&gt;=1,"",ROW())</f>
        <v>7</v>
      </c>
      <c r="S7" t="str">
        <f t="shared" si="5"/>
        <v>Moving Image Briefs</v>
      </c>
      <c r="U7" t="s">
        <v>119</v>
      </c>
      <c r="V7">
        <f>IF(COUNTIF(Diploma!$E$20:$E$83,U7)&gt;=1,"",ROW())</f>
        <v>7</v>
      </c>
      <c r="W7" t="str">
        <f t="shared" si="6"/>
        <v>Textiles Briefs</v>
      </c>
      <c r="Y7" t="s">
        <v>131</v>
      </c>
      <c r="Z7">
        <f>IF(COUNTIF(Diploma!$E$20:$E$83,Y7)&gt;=1,"",ROW())</f>
        <v>7</v>
      </c>
      <c r="AA7" t="str">
        <f t="shared" si="7"/>
        <v>Moving Image Briefs</v>
      </c>
      <c r="AC7" t="s">
        <v>123</v>
      </c>
      <c r="AD7">
        <f>IF(COUNTIF(Diploma!$E$20:$E$83,AC7)&gt;=1,"",ROW())</f>
        <v>7</v>
      </c>
      <c r="AE7" t="str">
        <f t="shared" si="8"/>
        <v>Art, Craft and Design in the Creative Industries</v>
      </c>
      <c r="AG7" t="s">
        <v>163</v>
      </c>
      <c r="AH7">
        <f>IF(COUNTIF(Diploma!$E$20:$E$83,AG7)&gt;=1,"",ROW())</f>
        <v>7</v>
      </c>
      <c r="AI7" t="str">
        <f t="shared" si="9"/>
        <v>Using Business Documentation</v>
      </c>
      <c r="AK7" t="s">
        <v>195</v>
      </c>
      <c r="AL7">
        <f>IF(COUNTIF(Diploma!$E$20:$E$83,AK7)&gt;=1,"",ROW())</f>
        <v>7</v>
      </c>
      <c r="AM7" t="str">
        <f t="shared" si="10"/>
        <v>Construction Drawing Techniques</v>
      </c>
      <c r="AO7" t="s">
        <v>222</v>
      </c>
      <c r="AP7">
        <f>IF(COUNTIF(Diploma!$E$20:$E$83,AO7)&gt;=1,"",ROW())</f>
        <v>7</v>
      </c>
      <c r="AQ7" t="str">
        <f t="shared" si="11"/>
        <v>Digital Editing for Moving Image</v>
      </c>
      <c r="AW7" t="s">
        <v>251</v>
      </c>
      <c r="AX7">
        <f>IF(COUNTIF(Diploma!$E$20:$E$83,AW7)&gt;=1,"",ROW())</f>
        <v>7</v>
      </c>
      <c r="AY7" t="str">
        <f t="shared" si="12"/>
        <v>Vehicle Electrical Sytems</v>
      </c>
      <c r="BE7" t="s">
        <v>245</v>
      </c>
      <c r="BF7">
        <f>IF(COUNTIF(Diploma!$E$20:$E$83,BE7)&gt;=1,"",ROW())</f>
        <v>7</v>
      </c>
      <c r="BG7" t="str">
        <f t="shared" si="13"/>
        <v>Computer Numerical Control Programming</v>
      </c>
      <c r="BM7" t="s">
        <v>256</v>
      </c>
      <c r="BN7">
        <f>IF(COUNTIF(Diploma!$E$20:$E$83,BM7)&gt;=1,"",ROW())</f>
        <v>7</v>
      </c>
      <c r="BO7" t="str">
        <f t="shared" si="14"/>
        <v>Electronic Devices and Communication Applications</v>
      </c>
      <c r="BU7" t="s">
        <v>249</v>
      </c>
      <c r="BV7">
        <f>IF(COUNTIF(Diploma!$E$20:$E$83,BU7)&gt;=1,"",ROW())</f>
        <v>7</v>
      </c>
      <c r="BW7" t="str">
        <f t="shared" si="15"/>
        <v>Engineering Assembly</v>
      </c>
      <c r="CC7" t="s">
        <v>250</v>
      </c>
      <c r="CD7">
        <f>IF(COUNTIF(Diploma!$E$20:$E$83,CC7)&gt;=1,"",ROW())</f>
        <v>7</v>
      </c>
      <c r="CE7" t="str">
        <f t="shared" si="16"/>
        <v>Vehicle Engines and Other Systems</v>
      </c>
      <c r="CG7" t="s">
        <v>291</v>
      </c>
      <c r="CH7">
        <f>IF(COUNTIF(Diploma!$E$20:$E$83,CG7)&gt;=1,"",ROW())</f>
        <v>7</v>
      </c>
      <c r="CI7" t="str">
        <f t="shared" si="17"/>
        <v>Skills and Qualities for Working in the Health and Social Care Sector</v>
      </c>
      <c r="CK7" t="s">
        <v>299</v>
      </c>
      <c r="CL7">
        <f>IF(COUNTIF(Diploma!$E$20:$E$83,CK7)&gt;=1,"",ROW())</f>
        <v>7</v>
      </c>
      <c r="CM7" t="str">
        <f t="shared" si="18"/>
        <v>Food Safety in Health and Social Care</v>
      </c>
      <c r="CO7" t="s">
        <v>315</v>
      </c>
      <c r="CP7">
        <f>IF(COUNTIF(Diploma!$E$20:$E$83,CO7)&gt;=1,"",ROW())</f>
        <v>7</v>
      </c>
      <c r="CQ7" t="str">
        <f t="shared" ref="CQ7:CQ18" si="37">IF(ROW(CO7)-ROW(CO$2)+1&gt;COUNT(CP$2:CP$50),"",INDEX(CO:CO,SMALL(CP$2:CP$50,1+ROW(CO7)-ROW(CO$2))))</f>
        <v>Marketing and Promotion in Hospitality</v>
      </c>
      <c r="CS7" t="s">
        <v>338</v>
      </c>
      <c r="CT7">
        <f>IF(COUNTIF(Diploma!$E$20:$E$83,CS7)&gt;=1,"",ROW())</f>
        <v>7</v>
      </c>
      <c r="CU7" t="str">
        <f t="shared" si="19"/>
        <v>Installing and Maintaining Computer Software</v>
      </c>
      <c r="CW7" t="s">
        <v>349</v>
      </c>
      <c r="CX7">
        <f>IF(COUNTIF(Diploma!$E$20:$E$83,CW7)&gt;=1,"",ROW())</f>
        <v>7</v>
      </c>
      <c r="CY7" t="str">
        <f t="shared" si="20"/>
        <v>Spreadsheet Development</v>
      </c>
      <c r="DA7" t="s">
        <v>349</v>
      </c>
      <c r="DB7">
        <f>IF(COUNTIF(Diploma!$E$20:$E$83,DA7)&gt;=1,"",ROW())</f>
        <v>7</v>
      </c>
      <c r="DC7" t="str">
        <f t="shared" si="21"/>
        <v>Spreadsheet Development</v>
      </c>
      <c r="DE7" t="s">
        <v>349</v>
      </c>
      <c r="DF7">
        <f>IF(COUNTIF(Diploma!$E$20:$E$83,DE7)&gt;=1,"",ROW())</f>
        <v>7</v>
      </c>
      <c r="DG7" t="str">
        <f t="shared" si="22"/>
        <v>Spreadsheet Development</v>
      </c>
      <c r="DI7" t="s">
        <v>367</v>
      </c>
      <c r="DJ7">
        <f>IF(COUNTIF(Diploma!$E$20:$E$83,DI7)&gt;=1,"",ROW())</f>
        <v>7</v>
      </c>
      <c r="DK7" t="str">
        <f t="shared" si="23"/>
        <v>Introducing Choral Studies</v>
      </c>
      <c r="DQ7" t="s">
        <v>400</v>
      </c>
      <c r="DR7">
        <f>IF(COUNTIF(Diploma!$E$20:$E$83,DQ7)&gt;=1,"",ROW())</f>
        <v>7</v>
      </c>
      <c r="DS7" t="str">
        <f t="shared" si="24"/>
        <v>Performing Scripted Plays</v>
      </c>
      <c r="DU7" t="s">
        <v>400</v>
      </c>
      <c r="DV7">
        <f>IF(COUNTIF(Diploma!$E$20:$E$83,DU7)&gt;=1,"",ROW())</f>
        <v>7</v>
      </c>
      <c r="DW7" t="str">
        <f t="shared" si="25"/>
        <v>Performing Scripted Plays</v>
      </c>
      <c r="DY7" t="s">
        <v>406</v>
      </c>
      <c r="DZ7">
        <f>IF(COUNTIF(Diploma!$E$20:$E$83,DY7)&gt;=1,"",ROW())</f>
        <v>7</v>
      </c>
      <c r="EA7" t="str">
        <f t="shared" si="26"/>
        <v>Realising Set Design for Performance</v>
      </c>
      <c r="EC7" t="s">
        <v>403</v>
      </c>
      <c r="ED7">
        <f>IF(COUNTIF(Diploma!$E$20:$E$83,EC7)&gt;=1,"",ROW())</f>
        <v>7</v>
      </c>
      <c r="EE7" t="str">
        <f t="shared" si="27"/>
        <v>Jazz Dance Techniques</v>
      </c>
      <c r="EG7" t="s">
        <v>407</v>
      </c>
      <c r="EH7">
        <f>IF(COUNTIF(Diploma!$E$20:$E$83,EG7)&gt;=1,"",ROW())</f>
        <v>7</v>
      </c>
      <c r="EI7" t="str">
        <f t="shared" si="28"/>
        <v>Realising Prop Design for Performance</v>
      </c>
      <c r="EK7" t="s">
        <v>409</v>
      </c>
      <c r="EL7">
        <f>IF(COUNTIF(Diploma!$E$20:$E$83,EK7)&gt;=1,"",ROW())</f>
        <v>7</v>
      </c>
      <c r="EM7" t="str">
        <f t="shared" si="29"/>
        <v>Lighting for Performance</v>
      </c>
      <c r="EO7" t="s">
        <v>400</v>
      </c>
      <c r="EP7">
        <f>IF(COUNTIF(Diploma!$E$20:$E$83,EO7)&gt;=1,"",ROW())</f>
        <v>7</v>
      </c>
      <c r="EQ7" t="str">
        <f t="shared" si="30"/>
        <v>Performing Scripted Plays</v>
      </c>
      <c r="ES7" t="s">
        <v>443</v>
      </c>
      <c r="ET7">
        <f>IF(OR(COUNTIF(Diploma!$E$20:$E$83,ES7)&gt;=1,COUNTIF(Diploma!$E$20:$E$83,ES11)&gt;=1),"",ROW())</f>
        <v>7</v>
      </c>
      <c r="EU7" t="str">
        <f t="shared" si="31"/>
        <v>Adventurous Activities in the Public Services</v>
      </c>
      <c r="EW7" t="s">
        <v>464</v>
      </c>
      <c r="EX7">
        <f>IF(COUNTIF(Diploma!$E$20:$E$83,EW7)&gt;=1,"",ROW())</f>
        <v>7</v>
      </c>
      <c r="EY7" t="str">
        <f t="shared" si="32"/>
        <v>Land-based Outdoor and Adventurous Activity Leadership</v>
      </c>
      <c r="FA7" t="s">
        <v>472</v>
      </c>
      <c r="FB7">
        <f>IF(COUNTIF(Diploma!$E$20:$E$83,FA7)&gt;=1,"",ROW())</f>
        <v>7</v>
      </c>
      <c r="FC7" t="str">
        <f t="shared" si="33"/>
        <v>The Sport and Active Leisure Industry</v>
      </c>
      <c r="FI7" t="s">
        <v>472</v>
      </c>
      <c r="FJ7">
        <f>IF(COUNTIF(Diploma!$E$20:$E$83,FI7)&gt;=1,"",ROW())</f>
        <v>7</v>
      </c>
      <c r="FK7" t="str">
        <f t="shared" si="34"/>
        <v>The Sport and Active Leisure Industry</v>
      </c>
      <c r="FQ7" t="s">
        <v>474</v>
      </c>
      <c r="FR7">
        <f>IF(COUNTIF(Diploma!$E$20:$E$83,FQ7)&gt;=1,"",ROW())</f>
        <v>7</v>
      </c>
      <c r="FS7" t="str">
        <f t="shared" si="35"/>
        <v>The Provision of Sport and Active Leisure</v>
      </c>
      <c r="FU7" t="s">
        <v>494</v>
      </c>
      <c r="FV7">
        <f>IF(COUNTIF(Diploma!$E$20:$E$83,FU7)&gt;=1,"",ROW())</f>
        <v>7</v>
      </c>
      <c r="FW7" t="str">
        <f t="shared" si="36"/>
        <v>Travel and Tourism Research Project</v>
      </c>
    </row>
    <row r="8" spans="1:179" x14ac:dyDescent="0.25">
      <c r="A8" t="s">
        <v>30</v>
      </c>
      <c r="B8">
        <f>IF(COUNTIF(Diploma!$E$20:$E$83,A8)&gt;=1,"",ROW())</f>
        <v>8</v>
      </c>
      <c r="C8" t="str">
        <f t="shared" si="1"/>
        <v>Investigating a Crime Scene</v>
      </c>
      <c r="E8" t="s">
        <v>119</v>
      </c>
      <c r="F8">
        <f>IF(COUNTIF(Diploma!$E$20:$E$83,E8)&gt;=1,"",ROW())</f>
        <v>8</v>
      </c>
      <c r="G8" t="str">
        <f t="shared" si="2"/>
        <v>Textiles Briefs</v>
      </c>
      <c r="I8" t="s">
        <v>135</v>
      </c>
      <c r="J8">
        <f>IF(COUNTIF(Diploma!$E$20:$E$83,I8)&gt;=1,"",ROW())</f>
        <v>8</v>
      </c>
      <c r="K8" t="str">
        <f t="shared" si="3"/>
        <v>Ceramics</v>
      </c>
      <c r="M8" t="s">
        <v>130</v>
      </c>
      <c r="N8">
        <f>IF(COUNTIF(Diploma!$E$20:$E$83,M8)&gt;=1,"",ROW())</f>
        <v>8</v>
      </c>
      <c r="O8" t="str">
        <f t="shared" si="4"/>
        <v>Fashion Promotion</v>
      </c>
      <c r="Q8" t="s">
        <v>136</v>
      </c>
      <c r="R8">
        <f>IF(COUNTIF(Diploma!$E$20:$E$83,Q8)&gt;=1,"",ROW())</f>
        <v>8</v>
      </c>
      <c r="S8" t="str">
        <f t="shared" si="5"/>
        <v>Studio Photography</v>
      </c>
      <c r="U8" t="s">
        <v>123</v>
      </c>
      <c r="V8">
        <f>IF(COUNTIF(Diploma!$E$20:$E$83,U8)&gt;=1,"",ROW())</f>
        <v>8</v>
      </c>
      <c r="W8" t="str">
        <f t="shared" si="6"/>
        <v>Art, Craft and Design in the Creative Industries</v>
      </c>
      <c r="Y8" t="s">
        <v>133</v>
      </c>
      <c r="Z8">
        <f>IF(COUNTIF(Diploma!$E$20:$E$83,Y8)&gt;=1,"",ROW())</f>
        <v>8</v>
      </c>
      <c r="AA8" t="str">
        <f t="shared" si="7"/>
        <v>Printmaking Briefs</v>
      </c>
      <c r="AC8" t="s">
        <v>125</v>
      </c>
      <c r="AD8">
        <f>IF(COUNTIF(Diploma!$E$20:$E$83,AC8)&gt;=1,"",ROW())</f>
        <v>8</v>
      </c>
      <c r="AE8" t="str">
        <f t="shared" si="8"/>
        <v>Digital Art and Design Briefs</v>
      </c>
      <c r="AG8" t="s">
        <v>164</v>
      </c>
      <c r="AH8">
        <f>IF(COUNTIF(Diploma!$E$20:$E$83,AG8)&gt;=1,"",ROW())</f>
        <v>8</v>
      </c>
      <c r="AI8" t="str">
        <f t="shared" si="9"/>
        <v>Building Successful Business Teams</v>
      </c>
      <c r="AK8" t="s">
        <v>196</v>
      </c>
      <c r="AL8">
        <f>IF(COUNTIF(Diploma!$E$20:$E$83,AK8)&gt;=1,"",ROW())</f>
        <v>8</v>
      </c>
      <c r="AM8" t="str">
        <f t="shared" si="10"/>
        <v>Exploring Carpentry and Joinery Principles and Techniques</v>
      </c>
      <c r="AO8" t="s">
        <v>223</v>
      </c>
      <c r="AP8">
        <f>IF(COUNTIF(Diploma!$E$20:$E$83,AO8)&gt;=1,"",ROW())</f>
        <v>8</v>
      </c>
      <c r="AQ8" t="str">
        <f t="shared" si="11"/>
        <v>Digital Photography for a Media Product</v>
      </c>
      <c r="AW8" t="s">
        <v>252</v>
      </c>
      <c r="AX8">
        <f>IF(COUNTIF(Diploma!$E$20:$E$83,AW8)&gt;=1,"",ROW())</f>
        <v>8</v>
      </c>
      <c r="AY8" t="str">
        <f t="shared" si="12"/>
        <v>Welding</v>
      </c>
      <c r="BE8" t="s">
        <v>254</v>
      </c>
      <c r="BF8">
        <f>IF(COUNTIF(Diploma!$E$20:$E$83,BE8)&gt;=1,"",ROW())</f>
        <v>8</v>
      </c>
      <c r="BG8" t="str">
        <f t="shared" si="13"/>
        <v>Sustainable Vehicle Power and Structure Design</v>
      </c>
      <c r="BM8" t="s">
        <v>263</v>
      </c>
      <c r="BN8">
        <f>IF(COUNTIF(Diploma!$E$20:$E$83,BM8)&gt;=1,"",ROW())</f>
        <v>8</v>
      </c>
      <c r="BO8" t="str">
        <f t="shared" si="14"/>
        <v>Vehicle Maintenance Techniques</v>
      </c>
      <c r="BU8" t="s">
        <v>252</v>
      </c>
      <c r="BV8">
        <f>IF(COUNTIF(Diploma!$E$20:$E$83,BU8)&gt;=1,"",ROW())</f>
        <v>8</v>
      </c>
      <c r="BW8" t="str">
        <f t="shared" si="15"/>
        <v>Welding</v>
      </c>
      <c r="CC8" t="s">
        <v>252</v>
      </c>
      <c r="CD8">
        <f>IF(COUNTIF(Diploma!$E$20:$E$83,CC8)&gt;=1,"",ROW())</f>
        <v>8</v>
      </c>
      <c r="CE8" t="str">
        <f t="shared" si="16"/>
        <v>Welding</v>
      </c>
      <c r="CG8" t="s">
        <v>292</v>
      </c>
      <c r="CH8">
        <f>IF(COUNTIF(Diploma!$E$20:$E$83,CG8)&gt;=1,"",ROW())</f>
        <v>8</v>
      </c>
      <c r="CI8" t="str">
        <f t="shared" si="17"/>
        <v>Understanding Disability</v>
      </c>
      <c r="CK8" t="s">
        <v>300</v>
      </c>
      <c r="CL8">
        <f>IF(COUNTIF(Diploma!$E$20:$E$83,CK8)&gt;=1,"",ROW())</f>
        <v>8</v>
      </c>
      <c r="CM8" t="str">
        <f t="shared" si="18"/>
        <v>Infection Control in Health and Social Care</v>
      </c>
      <c r="CO8" t="s">
        <v>316</v>
      </c>
      <c r="CP8">
        <f>IF(COUNTIF(Diploma!$E$20:$E$83,CO8)&gt;=1,"",ROW())</f>
        <v>8</v>
      </c>
      <c r="CQ8" t="str">
        <f t="shared" si="37"/>
        <v>Accommodation Services in the Hospitality Industry</v>
      </c>
      <c r="CS8" t="s">
        <v>339</v>
      </c>
      <c r="CT8">
        <f>IF(COUNTIF(Diploma!$E$20:$E$83,CS8)&gt;=1,"",ROW())</f>
        <v>8</v>
      </c>
      <c r="CU8" t="str">
        <f t="shared" si="19"/>
        <v>Automated Computer Systems</v>
      </c>
      <c r="CW8" t="s">
        <v>350</v>
      </c>
      <c r="CX8">
        <f>IF(COUNTIF(Diploma!$E$20:$E$83,CW8)&gt;=1,"",ROW())</f>
        <v>8</v>
      </c>
      <c r="CY8" t="str">
        <f t="shared" si="20"/>
        <v>Building a Personal Computer</v>
      </c>
      <c r="DA8" t="s">
        <v>333</v>
      </c>
      <c r="DB8">
        <f>IF(COUNTIF(Diploma!$E$20:$E$83,DA8)&gt;=1,"",ROW())</f>
        <v>8</v>
      </c>
      <c r="DC8" t="str">
        <f t="shared" si="21"/>
        <v>Database Development</v>
      </c>
      <c r="DE8" t="s">
        <v>333</v>
      </c>
      <c r="DF8">
        <f>IF(COUNTIF(Diploma!$E$20:$E$83,DE8)&gt;=1,"",ROW())</f>
        <v>8</v>
      </c>
      <c r="DG8" t="str">
        <f t="shared" si="22"/>
        <v>Database Development</v>
      </c>
      <c r="DI8" t="s">
        <v>368</v>
      </c>
      <c r="DJ8">
        <f>IF(COUNTIF(Diploma!$E$20:$E$83,DI8)&gt;=1,"",ROW())</f>
        <v>8</v>
      </c>
      <c r="DK8" t="str">
        <f t="shared" si="23"/>
        <v>Introducing Music Theory</v>
      </c>
      <c r="DQ8" t="s">
        <v>401</v>
      </c>
      <c r="DR8">
        <f>IF(COUNTIF(Diploma!$E$20:$E$83,DQ8)&gt;=1,"",ROW())</f>
        <v>8</v>
      </c>
      <c r="DS8" t="str">
        <f t="shared" si="24"/>
        <v>Contemporary Dance Techniques</v>
      </c>
      <c r="DU8" t="s">
        <v>416</v>
      </c>
      <c r="DV8">
        <f>IF(COUNTIF(Diploma!$E$20:$E$83,DU8)&gt;=1,"",ROW())</f>
        <v>8</v>
      </c>
      <c r="DW8" t="str">
        <f t="shared" si="25"/>
        <v>Directing Performance</v>
      </c>
      <c r="DY8" t="s">
        <v>407</v>
      </c>
      <c r="DZ8">
        <f>IF(COUNTIF(Diploma!$E$20:$E$83,DY8)&gt;=1,"",ROW())</f>
        <v>8</v>
      </c>
      <c r="EA8" t="str">
        <f t="shared" si="26"/>
        <v>Realising Prop Design for Performance</v>
      </c>
      <c r="EC8" t="s">
        <v>415</v>
      </c>
      <c r="ED8">
        <f>IF(COUNTIF(Diploma!$E$20:$E$83,EC8)&gt;=1,"",ROW())</f>
        <v>8</v>
      </c>
      <c r="EE8" t="str">
        <f t="shared" si="27"/>
        <v>Choreographing Dance</v>
      </c>
      <c r="EG8" t="s">
        <v>408</v>
      </c>
      <c r="EH8">
        <f>IF(COUNTIF(Diploma!$E$20:$E$83,EG8)&gt;=1,"",ROW())</f>
        <v>8</v>
      </c>
      <c r="EI8" t="str">
        <f t="shared" si="28"/>
        <v>Realising Mask Design for Performance</v>
      </c>
      <c r="EK8" t="s">
        <v>410</v>
      </c>
      <c r="EL8">
        <f>IF(COUNTIF(Diploma!$E$20:$E$83,EK8)&gt;=1,"",ROW())</f>
        <v>8</v>
      </c>
      <c r="EM8" t="str">
        <f t="shared" si="29"/>
        <v>Sound for Performance</v>
      </c>
      <c r="EO8" t="s">
        <v>401</v>
      </c>
      <c r="EP8">
        <f>IF(COUNTIF(Diploma!$E$20:$E$83,EO8)&gt;=1,"",ROW())</f>
        <v>8</v>
      </c>
      <c r="EQ8" t="str">
        <f t="shared" si="30"/>
        <v>Contemporary Dance Techniques</v>
      </c>
      <c r="ES8" t="s">
        <v>444</v>
      </c>
      <c r="ET8">
        <f>IF(COUNTIF(Diploma!$E$20:$E$83,ES8)&gt;=1,"",ROW())</f>
        <v>8</v>
      </c>
      <c r="EU8" t="str">
        <f t="shared" si="31"/>
        <v>Sport and Recreation in the Public Services</v>
      </c>
      <c r="EW8" t="s">
        <v>465</v>
      </c>
      <c r="EX8">
        <f>IF(COUNTIF(Diploma!$E$20:$E$83,EW8)&gt;=1,"",ROW())</f>
        <v>8</v>
      </c>
      <c r="EY8" t="str">
        <f t="shared" si="32"/>
        <v>Water-based Outdoor and Adventurous Activity Leadership</v>
      </c>
      <c r="FA8" t="s">
        <v>473</v>
      </c>
      <c r="FB8">
        <f>IF(COUNTIF(Diploma!$E$20:$E$83,FA8)&gt;=1,"",ROW())</f>
        <v>8</v>
      </c>
      <c r="FC8" t="str">
        <f t="shared" si="33"/>
        <v>Profiling Sports Performance</v>
      </c>
      <c r="FI8" t="s">
        <v>473</v>
      </c>
      <c r="FJ8">
        <f>IF(COUNTIF(Diploma!$E$20:$E$83,FI8)&gt;=1,"",ROW())</f>
        <v>8</v>
      </c>
      <c r="FK8" t="str">
        <f t="shared" si="34"/>
        <v>Profiling Sports Performance</v>
      </c>
      <c r="FQ8" t="s">
        <v>475</v>
      </c>
      <c r="FR8">
        <f>IF(COUNTIF(Diploma!$E$20:$E$83,FQ8)&gt;=1,"",ROW())</f>
        <v>8</v>
      </c>
      <c r="FS8" t="str">
        <f t="shared" si="35"/>
        <v>Sport Community Volunteering</v>
      </c>
      <c r="FU8" t="s">
        <v>495</v>
      </c>
      <c r="FV8">
        <f>IF(COUNTIF(Diploma!$E$20:$E$83,FU8)&gt;=1,"",ROW())</f>
        <v>8</v>
      </c>
      <c r="FW8" t="str">
        <f t="shared" si="36"/>
        <v>Work-related Experience in Travel and Tourism</v>
      </c>
    </row>
    <row r="9" spans="1:179" x14ac:dyDescent="0.25">
      <c r="A9" t="s">
        <v>31</v>
      </c>
      <c r="B9">
        <f>IF(COUNTIF(Diploma!$E$20:$E$83,A9)&gt;=1,"",ROW())</f>
        <v>9</v>
      </c>
      <c r="C9" t="str">
        <f t="shared" si="1"/>
        <v>Science in Medicine</v>
      </c>
      <c r="E9" t="s">
        <v>120</v>
      </c>
      <c r="F9">
        <f>IF(OR(COUNTIF(Diploma!$E$20:$E$83,E9)&gt;=1,COUNTIF(Diploma!$E$20:$E$83,E2)&gt;=1,COUNTIF(Diploma!$E$20:$E$83,E3)&gt;=1),"",ROW())</f>
        <v>9</v>
      </c>
      <c r="G9" t="str">
        <f t="shared" si="2"/>
        <v>Visual Arts Briefs</v>
      </c>
      <c r="I9" t="s">
        <v>141</v>
      </c>
      <c r="J9">
        <f>IF(COUNTIF(Diploma!$E$20:$E$83,I9)&gt;=1,"",ROW())</f>
        <v>9</v>
      </c>
      <c r="K9" t="str">
        <f t="shared" si="3"/>
        <v>Surface Design</v>
      </c>
      <c r="M9" t="s">
        <v>133</v>
      </c>
      <c r="N9">
        <f>IF(COUNTIF(Diploma!$E$20:$E$83,M9)&gt;=1,"",ROW())</f>
        <v>9</v>
      </c>
      <c r="O9" t="str">
        <f t="shared" si="4"/>
        <v>Printmaking Briefs</v>
      </c>
      <c r="Q9" t="s">
        <v>137</v>
      </c>
      <c r="R9">
        <f>IF(COUNTIF(Diploma!$E$20:$E$83,Q9)&gt;=1,"",ROW())</f>
        <v>9</v>
      </c>
      <c r="S9" t="str">
        <f t="shared" si="5"/>
        <v>Location Photography</v>
      </c>
      <c r="U9" t="s">
        <v>124</v>
      </c>
      <c r="V9">
        <f>IF(OR(COUNTIF(Diploma!$E$20:$E$83,U9)&gt;=1,COUNTIF(Diploma!$E$20:$E$83,U3)&gt;=1),"",ROW())</f>
        <v>9</v>
      </c>
      <c r="W9" t="str">
        <f t="shared" si="6"/>
        <v>3D Design Briefs</v>
      </c>
      <c r="Y9" t="s">
        <v>134</v>
      </c>
      <c r="Z9">
        <f>IF(COUNTIF(Diploma!$E$20:$E$83,Y9)&gt;=1,"",ROW())</f>
        <v>9</v>
      </c>
      <c r="AA9" t="str">
        <f t="shared" si="7"/>
        <v>Drawing from Observation</v>
      </c>
      <c r="AC9" t="s">
        <v>126</v>
      </c>
      <c r="AD9">
        <f>IF(COUNTIF(Diploma!$E$20:$E$83,AC9)&gt;=1,"",ROW())</f>
        <v>9</v>
      </c>
      <c r="AE9" t="str">
        <f t="shared" si="8"/>
        <v>Interactive Media Production Briefs</v>
      </c>
      <c r="AG9" t="s">
        <v>165</v>
      </c>
      <c r="AH9">
        <f>IF(COUNTIF(Diploma!$E$20:$E$83,AG9)&gt;=1,"",ROW())</f>
        <v>9</v>
      </c>
      <c r="AI9" t="str">
        <f t="shared" si="9"/>
        <v>Introducing Law and Consumer Rights</v>
      </c>
      <c r="AK9" t="s">
        <v>197</v>
      </c>
      <c r="AL9">
        <f>IF(COUNTIF(Diploma!$E$20:$E$83,AK9)&gt;=1,"",ROW())</f>
        <v>9</v>
      </c>
      <c r="AM9" t="str">
        <f t="shared" si="10"/>
        <v>Exploring Brickwork and Blockwork Principles and Techniques</v>
      </c>
      <c r="AO9" t="s">
        <v>224</v>
      </c>
      <c r="AP9">
        <f>IF(COUNTIF(Diploma!$E$20:$E$83,AO9)&gt;=1,"",ROW())</f>
        <v>9</v>
      </c>
      <c r="AQ9" t="str">
        <f t="shared" si="11"/>
        <v>Animation for Digital Media</v>
      </c>
      <c r="AW9" t="s">
        <v>253</v>
      </c>
      <c r="AX9">
        <f>IF(COUNTIF(Diploma!$E$20:$E$83,AW9)&gt;=1,"",ROW())</f>
        <v>9</v>
      </c>
      <c r="AY9" t="str">
        <f t="shared" si="12"/>
        <v>Bicycle Servicing and Maintenance</v>
      </c>
      <c r="BU9" t="s">
        <v>245</v>
      </c>
      <c r="BV9">
        <f>IF(COUNTIF(Diploma!$E$20:$E$83,BU9)&gt;=1,"",ROW())</f>
        <v>9</v>
      </c>
      <c r="BW9" t="str">
        <f t="shared" si="15"/>
        <v>Computer Numerical Control Programming</v>
      </c>
      <c r="CC9" t="s">
        <v>245</v>
      </c>
      <c r="CD9">
        <f>IF(COUNTIF(Diploma!$E$20:$E$83,CC9)&gt;=1,"",ROW())</f>
        <v>9</v>
      </c>
      <c r="CE9" t="str">
        <f t="shared" si="16"/>
        <v>Computer Numerical Control Programming</v>
      </c>
      <c r="CG9" t="s">
        <v>293</v>
      </c>
      <c r="CH9">
        <f>IF(COUNTIF(Diploma!$E$20:$E$83,CG9)&gt;=1,"",ROW())</f>
        <v>9</v>
      </c>
      <c r="CI9" t="str">
        <f t="shared" si="17"/>
        <v>Introduction to Dementia</v>
      </c>
      <c r="CK9" t="s">
        <v>301</v>
      </c>
      <c r="CL9">
        <f>IF(COUNTIF(Diploma!$E$20:$E$83,CK9)&gt;=1,"",ROW())</f>
        <v>9</v>
      </c>
      <c r="CM9" t="str">
        <f t="shared" si="18"/>
        <v>Using ICT in Health and Social Care</v>
      </c>
      <c r="CO9" t="s">
        <v>317</v>
      </c>
      <c r="CP9">
        <f>IF(COUNTIF(Diploma!$E$20:$E$83,CO9)&gt;=1,"",ROW())</f>
        <v>9</v>
      </c>
      <c r="CQ9" t="str">
        <f t="shared" si="37"/>
        <v>Planning and Running a Hospitality Event</v>
      </c>
      <c r="CS9" t="s">
        <v>340</v>
      </c>
      <c r="CT9">
        <f>IF(COUNTIF(Diploma!$E$20:$E$83,CS9)&gt;=1,"",ROW())</f>
        <v>9</v>
      </c>
      <c r="CU9" t="str">
        <f t="shared" si="19"/>
        <v>A Technology Business</v>
      </c>
      <c r="CW9" t="s">
        <v>351</v>
      </c>
      <c r="CX9">
        <f>IF(COUNTIF(Diploma!$E$20:$E$83,CW9)&gt;=1,"",ROW())</f>
        <v>9</v>
      </c>
      <c r="CY9" t="str">
        <f t="shared" si="20"/>
        <v>IT Work Experience</v>
      </c>
      <c r="DA9" t="s">
        <v>334</v>
      </c>
      <c r="DB9">
        <f>IF(COUNTIF(Diploma!$E$20:$E$83,DA9)&gt;=1,"",ROW())</f>
        <v>9</v>
      </c>
      <c r="DC9" t="str">
        <f t="shared" si="21"/>
        <v>Computer Networks</v>
      </c>
      <c r="DE9" t="s">
        <v>335</v>
      </c>
      <c r="DF9">
        <f>IF(COUNTIF(Diploma!$E$20:$E$83,DE9)&gt;=1,"",ROW())</f>
        <v>9</v>
      </c>
      <c r="DG9" t="str">
        <f t="shared" si="22"/>
        <v>Software Development</v>
      </c>
      <c r="DI9" t="s">
        <v>369</v>
      </c>
      <c r="DJ9">
        <f>IF(COUNTIF(Diploma!$E$20:$E$83,DI9)&gt;=1,"",ROW())</f>
        <v>9</v>
      </c>
      <c r="DK9" t="str">
        <f t="shared" si="23"/>
        <v>Developing Solo Music Performance</v>
      </c>
      <c r="DQ9" t="s">
        <v>402</v>
      </c>
      <c r="DR9">
        <f>IF(COUNTIF(Diploma!$E$20:$E$83,DQ9)&gt;=1,"",ROW())</f>
        <v>9</v>
      </c>
      <c r="DS9" t="str">
        <f t="shared" si="24"/>
        <v>Exploring Urban Dance Styles</v>
      </c>
      <c r="DU9" t="s">
        <v>417</v>
      </c>
      <c r="DV9">
        <f>IF(COUNTIF(Diploma!$E$20:$E$83,DU9)&gt;=1,"",ROW())</f>
        <v>9</v>
      </c>
      <c r="DW9" t="str">
        <f t="shared" si="25"/>
        <v>Planning and Managing a Performing Arts Event</v>
      </c>
      <c r="DY9" t="s">
        <v>408</v>
      </c>
      <c r="DZ9">
        <f>IF(COUNTIF(Diploma!$E$20:$E$83,DY9)&gt;=1,"",ROW())</f>
        <v>9</v>
      </c>
      <c r="EA9" t="str">
        <f t="shared" si="26"/>
        <v>Realising Mask Design for Performance</v>
      </c>
      <c r="EC9" t="s">
        <v>419</v>
      </c>
      <c r="ED9">
        <f>IF(COUNTIF(Diploma!$E$20:$E$83,EC9)&gt;=1,"",ROW())</f>
        <v>9</v>
      </c>
      <c r="EE9" t="str">
        <f t="shared" si="27"/>
        <v>Physical Theatre Performance</v>
      </c>
      <c r="EG9" t="s">
        <v>409</v>
      </c>
      <c r="EH9">
        <f>IF(COUNTIF(Diploma!$E$20:$E$83,EG9)&gt;=1,"",ROW())</f>
        <v>9</v>
      </c>
      <c r="EI9" t="str">
        <f t="shared" si="28"/>
        <v>Lighting for Performance</v>
      </c>
      <c r="EK9" t="s">
        <v>411</v>
      </c>
      <c r="EL9">
        <f>IF(COUNTIF(Diploma!$E$20:$E$83,EK9)&gt;=1,"",ROW())</f>
        <v>9</v>
      </c>
      <c r="EM9" t="str">
        <f t="shared" si="29"/>
        <v>Supporting Performance: Stage Management</v>
      </c>
      <c r="EO9" t="s">
        <v>402</v>
      </c>
      <c r="EP9">
        <f>IF(COUNTIF(Diploma!$E$20:$E$83,EO9)&gt;=1,"",ROW())</f>
        <v>9</v>
      </c>
      <c r="EQ9" t="str">
        <f t="shared" si="30"/>
        <v>Exploring Urban Dance Styles</v>
      </c>
      <c r="ES9" t="s">
        <v>445</v>
      </c>
      <c r="ET9">
        <f>IF(COUNTIF(Diploma!$E$20:$E$83,ES9)&gt;=1,"",ROW())</f>
        <v>9</v>
      </c>
      <c r="EU9" t="str">
        <f t="shared" si="31"/>
        <v>Land Navigation by Map and Compass</v>
      </c>
      <c r="EW9" t="s">
        <v>466</v>
      </c>
      <c r="EX9">
        <f>IF(COUNTIF(Diploma!$E$20:$E$83,EW9)&gt;=1,"",ROW())</f>
        <v>9</v>
      </c>
      <c r="EY9" t="str">
        <f t="shared" si="32"/>
        <v>Work Experience in Sport</v>
      </c>
      <c r="FA9" t="s">
        <v>474</v>
      </c>
      <c r="FB9">
        <f>IF(COUNTIF(Diploma!$E$20:$E$83,FA9)&gt;=1,"",ROW())</f>
        <v>9</v>
      </c>
      <c r="FC9" t="str">
        <f t="shared" si="33"/>
        <v>The Provision of Sport and Active Leisure</v>
      </c>
      <c r="FI9" t="s">
        <v>460</v>
      </c>
      <c r="FJ9">
        <f>IF(COUNTIF(Diploma!$E$20:$E$83,FI9)&gt;=1,"",ROW())</f>
        <v>9</v>
      </c>
      <c r="FK9" t="str">
        <f t="shared" si="34"/>
        <v>Designing Exercise Programmes</v>
      </c>
      <c r="FU9" t="s">
        <v>496</v>
      </c>
      <c r="FV9">
        <f>IF(COUNTIF(Diploma!$E$20:$E$83,FU9)&gt;=1,"",ROW())</f>
        <v>9</v>
      </c>
      <c r="FW9" t="str">
        <f t="shared" si="36"/>
        <v>Holiday Representatives</v>
      </c>
    </row>
    <row r="10" spans="1:179" x14ac:dyDescent="0.25">
      <c r="A10" t="s">
        <v>32</v>
      </c>
      <c r="B10">
        <f>IF(COUNTIF(Diploma!$E$20:$E$83,A10)&gt;=1,"",ROW())</f>
        <v>10</v>
      </c>
      <c r="C10" t="str">
        <f t="shared" si="1"/>
        <v>Understanding Human Behaviour</v>
      </c>
      <c r="E10" t="s">
        <v>121</v>
      </c>
      <c r="F10">
        <f>IF(COUNTIF(Diploma!$E$20:$E$83,E10)&gt;=1,"",ROW())</f>
        <v>10</v>
      </c>
      <c r="G10" t="str">
        <f t="shared" si="2"/>
        <v>Photography Briefs</v>
      </c>
      <c r="I10" t="s">
        <v>142</v>
      </c>
      <c r="J10">
        <f>IF(COUNTIF(Diploma!$E$20:$E$83,I10)&gt;=1,"",ROW())</f>
        <v>10</v>
      </c>
      <c r="K10" t="str">
        <f t="shared" si="3"/>
        <v>Sustainability in Art and Design Practice</v>
      </c>
      <c r="M10" t="s">
        <v>134</v>
      </c>
      <c r="N10">
        <f>IF(COUNTIF(Diploma!$E$20:$E$83,M10)&gt;=1,"",ROW())</f>
        <v>10</v>
      </c>
      <c r="O10" t="str">
        <f t="shared" si="4"/>
        <v>Drawing from Observation</v>
      </c>
      <c r="Q10" t="s">
        <v>138</v>
      </c>
      <c r="R10">
        <f>IF(COUNTIF(Diploma!$E$20:$E$83,Q10)&gt;=1,"",ROW())</f>
        <v>10</v>
      </c>
      <c r="S10" t="str">
        <f t="shared" si="5"/>
        <v>Designing for Print and Screen</v>
      </c>
      <c r="U10" t="s">
        <v>125</v>
      </c>
      <c r="V10">
        <f>IF(COUNTIF(Diploma!$E$20:$E$83,U10)&gt;=1,"",ROW())</f>
        <v>10</v>
      </c>
      <c r="W10" t="str">
        <f t="shared" si="6"/>
        <v>Digital Art and Design Briefs</v>
      </c>
      <c r="Y10" t="s">
        <v>135</v>
      </c>
      <c r="Z10">
        <f>IF(COUNTIF(Diploma!$E$20:$E$83,Y10)&gt;=1,"",ROW())</f>
        <v>10</v>
      </c>
      <c r="AA10" t="str">
        <f t="shared" si="7"/>
        <v>Ceramics</v>
      </c>
      <c r="AC10" t="s">
        <v>131</v>
      </c>
      <c r="AD10">
        <f>IF(COUNTIF(Diploma!$E$20:$E$83,AC10)&gt;=1,"",ROW())</f>
        <v>10</v>
      </c>
      <c r="AE10" t="str">
        <f t="shared" si="8"/>
        <v>Moving Image Briefs</v>
      </c>
      <c r="AG10" t="s">
        <v>166</v>
      </c>
      <c r="AH10">
        <f>IF(COUNTIF(Diploma!$E$20:$E$83,AG10)&gt;=1,"",ROW())</f>
        <v>10</v>
      </c>
      <c r="AI10" t="str">
        <f t="shared" si="9"/>
        <v>Financial Planning and Forecasting</v>
      </c>
      <c r="AK10" t="s">
        <v>198</v>
      </c>
      <c r="AL10">
        <f>IF(COUNTIF(Diploma!$E$20:$E$83,AK10)&gt;=1,"",ROW())</f>
        <v>10</v>
      </c>
      <c r="AM10" t="str">
        <f t="shared" si="10"/>
        <v>Exploring Painting and Decorating Principles and Techniques</v>
      </c>
      <c r="AO10" t="s">
        <v>225</v>
      </c>
      <c r="AP10">
        <f>IF(COUNTIF(Diploma!$E$20:$E$83,AO10)&gt;=1,"",ROW())</f>
        <v>10</v>
      </c>
      <c r="AQ10" t="str">
        <f t="shared" si="11"/>
        <v>Digital Audio Editing</v>
      </c>
      <c r="AW10" t="s">
        <v>254</v>
      </c>
      <c r="AX10">
        <f>IF(COUNTIF(Diploma!$E$20:$E$83,AW10)&gt;=1,"",ROW())</f>
        <v>10</v>
      </c>
      <c r="AY10" t="str">
        <f t="shared" si="12"/>
        <v>Sustainable Vehicle Power and Structure Design</v>
      </c>
      <c r="BU10" t="s">
        <v>261</v>
      </c>
      <c r="BV10">
        <f>IF(COUNTIF(Diploma!$E$20:$E$83,BU10)&gt;=1,"",ROW())</f>
        <v>10</v>
      </c>
      <c r="BW10" t="str">
        <f t="shared" si="15"/>
        <v>Fabrication Techniques</v>
      </c>
      <c r="CC10" t="s">
        <v>264</v>
      </c>
      <c r="CD10">
        <f>IF(COUNTIF(Diploma!$E$20:$E$83,CC10)&gt;=1,"",ROW())</f>
        <v>10</v>
      </c>
      <c r="CE10" t="str">
        <f t="shared" si="16"/>
        <v>Production Planning for Engineering</v>
      </c>
      <c r="CO10" t="s">
        <v>318</v>
      </c>
      <c r="CP10">
        <f>IF(COUNTIF(Diploma!$E$20:$E$83,CO10)&gt;=1,"",ROW())</f>
        <v>10</v>
      </c>
      <c r="CQ10" t="str">
        <f t="shared" si="37"/>
        <v>Contemporary World Food Cooking Skills</v>
      </c>
      <c r="CS10" t="s">
        <v>341</v>
      </c>
      <c r="CT10">
        <f>IF(COUNTIF(Diploma!$E$20:$E$83,CS10)&gt;=1,"",ROW())</f>
        <v>10</v>
      </c>
      <c r="CU10" t="str">
        <f t="shared" si="19"/>
        <v>Computer Security in Practice</v>
      </c>
      <c r="DA10" t="s">
        <v>336</v>
      </c>
      <c r="DB10">
        <f>IF(COUNTIF(Diploma!$E$20:$E$83,DA10)&gt;=1,"",ROW())</f>
        <v>10</v>
      </c>
      <c r="DC10" t="str">
        <f t="shared" si="21"/>
        <v>Website Development</v>
      </c>
      <c r="DE10" t="s">
        <v>336</v>
      </c>
      <c r="DF10">
        <f>IF(COUNTIF(Diploma!$E$20:$E$83,DE10)&gt;=1,"",ROW())</f>
        <v>10</v>
      </c>
      <c r="DG10" t="str">
        <f t="shared" si="22"/>
        <v>Website Development</v>
      </c>
      <c r="DI10" t="s">
        <v>370</v>
      </c>
      <c r="DJ10">
        <f>IF(COUNTIF(Diploma!$E$20:$E$83,DI10)&gt;=1,"",ROW())</f>
        <v>10</v>
      </c>
      <c r="DK10" t="str">
        <f t="shared" si="23"/>
        <v>The Development of Music</v>
      </c>
      <c r="DQ10" t="s">
        <v>403</v>
      </c>
      <c r="DR10">
        <f>IF(COUNTIF(Diploma!$E$20:$E$83,DQ10)&gt;=1,"",ROW())</f>
        <v>10</v>
      </c>
      <c r="DS10" t="str">
        <f t="shared" si="24"/>
        <v>Jazz Dance Techniques</v>
      </c>
      <c r="DU10" t="s">
        <v>419</v>
      </c>
      <c r="DV10">
        <f>IF(COUNTIF(Diploma!$E$20:$E$83,DU10)&gt;=1,"",ROW())</f>
        <v>10</v>
      </c>
      <c r="DW10" t="str">
        <f t="shared" si="25"/>
        <v>Physical Theatre Performance</v>
      </c>
      <c r="DY10" t="s">
        <v>409</v>
      </c>
      <c r="DZ10">
        <f>IF(COUNTIF(Diploma!$E$20:$E$83,DY10)&gt;=1,"",ROW())</f>
        <v>10</v>
      </c>
      <c r="EA10" t="str">
        <f t="shared" si="26"/>
        <v>Lighting for Performance</v>
      </c>
      <c r="EC10" t="s">
        <v>420</v>
      </c>
      <c r="ED10">
        <f>IF(COUNTIF(Diploma!$E$20:$E$83,EC10)&gt;=1,"",ROW())</f>
        <v>10</v>
      </c>
      <c r="EE10" t="str">
        <f t="shared" si="27"/>
        <v>Variety Performance</v>
      </c>
      <c r="EG10" t="s">
        <v>410</v>
      </c>
      <c r="EH10">
        <f>IF(COUNTIF(Diploma!$E$20:$E$83,EG10)&gt;=1,"",ROW())</f>
        <v>10</v>
      </c>
      <c r="EI10" t="str">
        <f t="shared" si="28"/>
        <v>Sound for Performance</v>
      </c>
      <c r="EK10" t="s">
        <v>412</v>
      </c>
      <c r="EL10">
        <f>IF(COUNTIF(Diploma!$E$20:$E$83,EK10)&gt;=1,"",ROW())</f>
        <v>10</v>
      </c>
      <c r="EM10" t="str">
        <f t="shared" si="29"/>
        <v>Supporting Performance: Front of House</v>
      </c>
      <c r="EO10" t="s">
        <v>403</v>
      </c>
      <c r="EP10">
        <f>IF(COUNTIF(Diploma!$E$20:$E$83,EO10)&gt;=1,"",ROW())</f>
        <v>10</v>
      </c>
      <c r="EQ10" t="str">
        <f t="shared" si="30"/>
        <v>Jazz Dance Techniques</v>
      </c>
      <c r="ES10" t="s">
        <v>446</v>
      </c>
      <c r="ET10">
        <f>IF(COUNTIF(Diploma!$E$20:$E$83,ES10)&gt;=1,"",ROW())</f>
        <v>10</v>
      </c>
      <c r="EU10" t="str">
        <f t="shared" si="31"/>
        <v>Volunteering for the Public Services</v>
      </c>
      <c r="FA10" t="s">
        <v>475</v>
      </c>
      <c r="FB10">
        <f>IF(COUNTIF(Diploma!$E$20:$E$83,FA10)&gt;=1,"",ROW())</f>
        <v>10</v>
      </c>
      <c r="FC10" t="str">
        <f t="shared" si="33"/>
        <v>Sport Community Volunteering</v>
      </c>
      <c r="FI10" t="s">
        <v>474</v>
      </c>
      <c r="FJ10">
        <f>IF(COUNTIF(Diploma!$E$20:$E$83,FI10)&gt;=1,"",ROW())</f>
        <v>10</v>
      </c>
      <c r="FK10" t="str">
        <f t="shared" si="34"/>
        <v>The Provision of Sport and Active Leisure</v>
      </c>
      <c r="FU10" t="s">
        <v>497</v>
      </c>
      <c r="FV10">
        <f>IF(COUNTIF(Diploma!$E$20:$E$83,FU10)&gt;=1,"",ROW())</f>
        <v>10</v>
      </c>
      <c r="FW10" t="str">
        <f t="shared" si="36"/>
        <v>UK Travel Agency Operations</v>
      </c>
    </row>
    <row r="11" spans="1:179" x14ac:dyDescent="0.25">
      <c r="A11" t="s">
        <v>33</v>
      </c>
      <c r="B11">
        <f>IF(COUNTIF(Diploma!$E$20:$E$83,A11)&gt;=1,"",ROW())</f>
        <v>11</v>
      </c>
      <c r="C11" t="str">
        <f t="shared" si="1"/>
        <v>Designing and Making Useful Devices in Science</v>
      </c>
      <c r="E11" t="s">
        <v>122</v>
      </c>
      <c r="F11">
        <f>IF(COUNTIF(Diploma!$E$20:$E$83,E11)&gt;=1,"",ROW())</f>
        <v>11</v>
      </c>
      <c r="G11" t="str">
        <f t="shared" si="2"/>
        <v>Designing for the Future</v>
      </c>
      <c r="I11" t="s">
        <v>144</v>
      </c>
      <c r="J11">
        <f>IF(COUNTIF(Diploma!$E$20:$E$83,I11)&gt;=1,"",ROW())</f>
        <v>11</v>
      </c>
      <c r="K11" t="str">
        <f t="shared" si="3"/>
        <v>Modelmaking</v>
      </c>
      <c r="M11" t="s">
        <v>138</v>
      </c>
      <c r="N11">
        <f>IF(COUNTIF(Diploma!$E$20:$E$83,M11)&gt;=1,"",ROW())</f>
        <v>11</v>
      </c>
      <c r="O11" t="str">
        <f t="shared" si="4"/>
        <v>Designing for Print and Screen</v>
      </c>
      <c r="Q11" t="s">
        <v>139</v>
      </c>
      <c r="R11">
        <f>IF(COUNTIF(Diploma!$E$20:$E$83,Q11)&gt;=1,"",ROW())</f>
        <v>11</v>
      </c>
      <c r="S11" t="str">
        <f t="shared" si="5"/>
        <v>Editing Photographic Images</v>
      </c>
      <c r="U11" t="s">
        <v>126</v>
      </c>
      <c r="V11">
        <f>IF(COUNTIF(Diploma!$E$20:$E$83,U11)&gt;=1,"",ROW())</f>
        <v>11</v>
      </c>
      <c r="W11" t="str">
        <f t="shared" si="6"/>
        <v>Interactive Media Production Briefs</v>
      </c>
      <c r="Y11" t="s">
        <v>141</v>
      </c>
      <c r="Z11">
        <f>IF(COUNTIF(Diploma!$E$20:$E$83,Y11)&gt;=1,"",ROW())</f>
        <v>11</v>
      </c>
      <c r="AA11" t="str">
        <f t="shared" si="7"/>
        <v>Surface Design</v>
      </c>
      <c r="AC11" t="s">
        <v>132</v>
      </c>
      <c r="AD11">
        <f>IF(COUNTIF(Diploma!$E$20:$E$83,AC11)&gt;=1,"",ROW())</f>
        <v>11</v>
      </c>
      <c r="AE11" t="str">
        <f t="shared" si="8"/>
        <v>Interaction Design</v>
      </c>
      <c r="AG11" t="s">
        <v>167</v>
      </c>
      <c r="AH11">
        <f>IF(COUNTIF(Diploma!$E$20:$E$83,AG11)&gt;=1,"",ROW())</f>
        <v>11</v>
      </c>
      <c r="AI11" t="str">
        <f t="shared" si="9"/>
        <v>Business Online</v>
      </c>
      <c r="AK11" t="s">
        <v>199</v>
      </c>
      <c r="AL11">
        <f>IF(COUNTIF(Diploma!$E$20:$E$83,AK11)&gt;=1,"",ROW())</f>
        <v>11</v>
      </c>
      <c r="AM11" t="str">
        <f t="shared" si="10"/>
        <v>Exploring Plumbing Principles and Techniques</v>
      </c>
      <c r="AO11" t="s">
        <v>226</v>
      </c>
      <c r="AP11">
        <f>IF(COUNTIF(Diploma!$E$20:$E$83,AO11)&gt;=1,"",ROW())</f>
        <v>11</v>
      </c>
      <c r="AQ11" t="str">
        <f t="shared" si="11"/>
        <v>Graphic Design for Digital Media</v>
      </c>
      <c r="AW11" t="s">
        <v>255</v>
      </c>
      <c r="AX11">
        <f>IF(COUNTIF(Diploma!$E$20:$E$83,AW11)&gt;=1,"",ROW())</f>
        <v>11</v>
      </c>
      <c r="AY11" t="str">
        <f t="shared" si="12"/>
        <v>Continuous Improvement and Problem-Solving</v>
      </c>
      <c r="BU11" t="s">
        <v>262</v>
      </c>
      <c r="BV11">
        <f>IF(COUNTIF(Diploma!$E$20:$E$83,BU11)&gt;=1,"",ROW())</f>
        <v>11</v>
      </c>
      <c r="BW11" t="str">
        <f t="shared" si="15"/>
        <v>Casting Techniques</v>
      </c>
      <c r="CC11" t="s">
        <v>265</v>
      </c>
      <c r="CD11">
        <f>IF(COUNTIF(Diploma!$E$20:$E$83,CC11)&gt;=1,"",ROW())</f>
        <v>11</v>
      </c>
      <c r="CE11" t="str">
        <f t="shared" si="16"/>
        <v>Engineering Marking Out</v>
      </c>
      <c r="CO11" t="s">
        <v>319</v>
      </c>
      <c r="CP11">
        <f>IF(COUNTIF(Diploma!$E$20:$E$83,CO11)&gt;=1,"",ROW())</f>
        <v>11</v>
      </c>
      <c r="CQ11" t="str">
        <f t="shared" si="37"/>
        <v>Menu Planning</v>
      </c>
      <c r="CS11" t="s">
        <v>342</v>
      </c>
      <c r="CT11">
        <f>IF(COUNTIF(Diploma!$E$20:$E$83,CS11)&gt;=1,"",ROW())</f>
        <v>11</v>
      </c>
      <c r="CU11" t="str">
        <f t="shared" si="19"/>
        <v>Computer Systems Support in Practice</v>
      </c>
      <c r="DA11" t="s">
        <v>337</v>
      </c>
      <c r="DB11">
        <f>IF(COUNTIF(Diploma!$E$20:$E$83,DA11)&gt;=1,"",ROW())</f>
        <v>11</v>
      </c>
      <c r="DC11" t="str">
        <f t="shared" si="21"/>
        <v>Installing and Maintaining Computer Hardware</v>
      </c>
      <c r="DE11" t="s">
        <v>337</v>
      </c>
      <c r="DF11">
        <f>IF(COUNTIF(Diploma!$E$20:$E$83,DE11)&gt;=1,"",ROW())</f>
        <v>11</v>
      </c>
      <c r="DG11" t="str">
        <f t="shared" si="22"/>
        <v>Installing and Maintaining Computer Hardware</v>
      </c>
      <c r="DI11" t="s">
        <v>371</v>
      </c>
      <c r="DJ11">
        <f>IF(COUNTIF(Diploma!$E$20:$E$83,DI11)&gt;=1,"",ROW())</f>
        <v>11</v>
      </c>
      <c r="DK11" t="str">
        <f t="shared" si="23"/>
        <v>Developing Music Composition</v>
      </c>
      <c r="DQ11" t="s">
        <v>404</v>
      </c>
      <c r="DR11">
        <f>IF(COUNTIF(Diploma!$E$20:$E$83,DQ11)&gt;=1,"",ROW())</f>
        <v>11</v>
      </c>
      <c r="DS11" t="str">
        <f t="shared" si="24"/>
        <v>Design Planning for Performance</v>
      </c>
      <c r="DU11" t="s">
        <v>420</v>
      </c>
      <c r="DV11">
        <f>IF(COUNTIF(Diploma!$E$20:$E$83,DU11)&gt;=1,"",ROW())</f>
        <v>11</v>
      </c>
      <c r="DW11" t="str">
        <f t="shared" si="25"/>
        <v>Variety Performance</v>
      </c>
      <c r="DY11" t="s">
        <v>410</v>
      </c>
      <c r="DZ11">
        <f>IF(COUNTIF(Diploma!$E$20:$E$83,DY11)&gt;=1,"",ROW())</f>
        <v>11</v>
      </c>
      <c r="EA11" t="str">
        <f t="shared" si="26"/>
        <v>Sound for Performance</v>
      </c>
      <c r="EC11" t="s">
        <v>423</v>
      </c>
      <c r="ED11">
        <f>IF(COUNTIF(Diploma!$E$20:$E$83,EC11)&gt;=1,"",ROW())</f>
        <v>11</v>
      </c>
      <c r="EE11" t="str">
        <f t="shared" si="27"/>
        <v>Singing Skills in the Performing Arts</v>
      </c>
      <c r="EG11" t="s">
        <v>413</v>
      </c>
      <c r="EH11">
        <f>IF(COUNTIF(Diploma!$E$20:$E$83,EG11)&gt;=1,"",ROW())</f>
        <v>11</v>
      </c>
      <c r="EI11" t="str">
        <f t="shared" si="28"/>
        <v>Make-up for Performance</v>
      </c>
      <c r="EK11" t="s">
        <v>413</v>
      </c>
      <c r="EL11">
        <f>IF(COUNTIF(Diploma!$E$20:$E$83,EK11)&gt;=1,"",ROW())</f>
        <v>11</v>
      </c>
      <c r="EM11" t="str">
        <f t="shared" si="29"/>
        <v>Make-up for Performance</v>
      </c>
      <c r="ES11" t="s">
        <v>447</v>
      </c>
      <c r="ET11">
        <f>IF(OR(COUNTIF(Diploma!$E$20:$E$83,ES11)&gt;=1,COUNTIF(Diploma!$E$20:$E$83,ES7)&gt;=1),"",ROW())</f>
        <v>11</v>
      </c>
      <c r="EU11" t="str">
        <f t="shared" si="31"/>
        <v>Multi-day Expedition Experience</v>
      </c>
      <c r="FI11" t="s">
        <v>461</v>
      </c>
      <c r="FJ11">
        <f>IF(COUNTIF(Diploma!$E$20:$E$83,FI11)&gt;=1,"",ROW())</f>
        <v>11</v>
      </c>
      <c r="FK11" t="str">
        <f t="shared" si="34"/>
        <v>Facility Operations for Sport and Leisure</v>
      </c>
      <c r="FU11" t="s">
        <v>498</v>
      </c>
      <c r="FV11">
        <f>IF(COUNTIF(Diploma!$E$20:$E$83,FU11)&gt;=1,"",ROW())</f>
        <v>11</v>
      </c>
      <c r="FW11" t="str">
        <f t="shared" si="36"/>
        <v>The Cruise Industry</v>
      </c>
    </row>
    <row r="12" spans="1:179" x14ac:dyDescent="0.25">
      <c r="A12" t="s">
        <v>34</v>
      </c>
      <c r="B12">
        <f>IF(COUNTIF(Diploma!$E$20:$E$83,A12)&gt;=1,"",ROW())</f>
        <v>12</v>
      </c>
      <c r="C12" t="str">
        <f t="shared" si="1"/>
        <v>Chemical Analysis and Detection</v>
      </c>
      <c r="E12" t="s">
        <v>123</v>
      </c>
      <c r="F12">
        <f>IF(COUNTIF(Diploma!$E$20:$E$83,E12)&gt;=1,"",ROW())</f>
        <v>12</v>
      </c>
      <c r="G12" t="str">
        <f t="shared" si="2"/>
        <v>Art, Craft and Design in the Creative Industries</v>
      </c>
      <c r="I12" t="s">
        <v>145</v>
      </c>
      <c r="J12">
        <f>IF(COUNTIF(Diploma!$E$20:$E$83,I12)&gt;=1,"",ROW())</f>
        <v>12</v>
      </c>
      <c r="K12" t="str">
        <f t="shared" si="3"/>
        <v>Sculpture</v>
      </c>
      <c r="M12" t="s">
        <v>140</v>
      </c>
      <c r="N12">
        <f>IF(COUNTIF(Diploma!$E$20:$E$83,M12)&gt;=1,"",ROW())</f>
        <v>12</v>
      </c>
      <c r="O12" t="str">
        <f t="shared" si="4"/>
        <v>Fashion Retail</v>
      </c>
      <c r="Q12" t="s">
        <v>142</v>
      </c>
      <c r="R12">
        <f>IF(COUNTIF(Diploma!$E$20:$E$83,Q12)&gt;=1,"",ROW())</f>
        <v>12</v>
      </c>
      <c r="S12" t="str">
        <f t="shared" si="5"/>
        <v>Sustainability in Art and Design Practice</v>
      </c>
      <c r="U12" t="s">
        <v>128</v>
      </c>
      <c r="V12">
        <f>IF(OR(COUNTIF(Diploma!$E$20:$E$83,U12)&gt;=1,COUNTIF(Diploma!$E$20:$E$83,U3)&gt;=1),"",ROW())</f>
        <v>12</v>
      </c>
      <c r="W12" t="str">
        <f t="shared" si="6"/>
        <v>Designing Products</v>
      </c>
      <c r="Y12" t="s">
        <v>142</v>
      </c>
      <c r="Z12">
        <f>IF(COUNTIF(Diploma!$E$20:$E$83,Y12)&gt;=1,"",ROW())</f>
        <v>12</v>
      </c>
      <c r="AA12" t="str">
        <f t="shared" si="7"/>
        <v>Sustainability in Art and Design Practice</v>
      </c>
      <c r="AC12" t="s">
        <v>138</v>
      </c>
      <c r="AD12">
        <f>IF(COUNTIF(Diploma!$E$20:$E$83,AC12)&gt;=1,"",ROW())</f>
        <v>12</v>
      </c>
      <c r="AE12" t="str">
        <f t="shared" si="8"/>
        <v>Designing for Print and Screen</v>
      </c>
      <c r="AG12" t="s">
        <v>168</v>
      </c>
      <c r="AH12">
        <f>IF(COUNTIF(Diploma!$E$20:$E$83,AG12)&gt;=1,"",ROW())</f>
        <v>12</v>
      </c>
      <c r="AI12" t="str">
        <f t="shared" si="9"/>
        <v>Public Sector Business</v>
      </c>
      <c r="AK12" t="s">
        <v>200</v>
      </c>
      <c r="AL12">
        <f>IF(COUNTIF(Diploma!$E$20:$E$83,AK12)&gt;=1,"",ROW())</f>
        <v>12</v>
      </c>
      <c r="AM12" t="str">
        <f t="shared" si="10"/>
        <v>Exploring Electrical Principles and Techniques</v>
      </c>
      <c r="AO12" t="s">
        <v>227</v>
      </c>
      <c r="AP12">
        <f>IF(COUNTIF(Diploma!$E$20:$E$83,AO12)&gt;=1,"",ROW())</f>
        <v>12</v>
      </c>
      <c r="AQ12" t="str">
        <f t="shared" si="11"/>
        <v>Writing for Digital Media</v>
      </c>
      <c r="AW12" t="s">
        <v>256</v>
      </c>
      <c r="AX12">
        <f>IF(COUNTIF(Diploma!$E$20:$E$83,AW12)&gt;=1,"",ROW())</f>
        <v>12</v>
      </c>
      <c r="AY12" t="str">
        <f t="shared" si="12"/>
        <v>Electronic Devices and Communication Applications</v>
      </c>
      <c r="BU12" t="s">
        <v>264</v>
      </c>
      <c r="BV12">
        <f>IF(COUNTIF(Diploma!$E$20:$E$83,BU12)&gt;=1,"",ROW())</f>
        <v>12</v>
      </c>
      <c r="BW12" t="str">
        <f t="shared" si="15"/>
        <v>Production Planning for Engineering</v>
      </c>
      <c r="CC12" t="s">
        <v>268</v>
      </c>
      <c r="CD12">
        <f>IF(COUNTIF(Diploma!$E$20:$E$83,CC12)&gt;=1,"",ROW())</f>
        <v>12</v>
      </c>
      <c r="CE12" t="str">
        <f t="shared" si="16"/>
        <v>Application of Quality Control and Measurement in Engineering</v>
      </c>
      <c r="CO12" t="s">
        <v>320</v>
      </c>
      <c r="CP12">
        <f>IF(COUNTIF(Diploma!$E$20:$E$83,CO12)&gt;=1,"",ROW())</f>
        <v>12</v>
      </c>
      <c r="CQ12" t="str">
        <f t="shared" si="37"/>
        <v>Managing Finance in Hospitality</v>
      </c>
      <c r="CS12" t="s">
        <v>343</v>
      </c>
      <c r="CT12">
        <f>IF(COUNTIF(Diploma!$E$20:$E$83,CS12)&gt;=1,"",ROW())</f>
        <v>12</v>
      </c>
      <c r="CU12" t="str">
        <f t="shared" si="19"/>
        <v>Software Systems Development</v>
      </c>
      <c r="DA12" t="s">
        <v>338</v>
      </c>
      <c r="DB12">
        <f>IF(COUNTIF(Diploma!$E$20:$E$83,DA12)&gt;=1,"",ROW())</f>
        <v>12</v>
      </c>
      <c r="DC12" t="str">
        <f t="shared" si="21"/>
        <v>Installing and Maintaining Computer Software</v>
      </c>
      <c r="DE12" t="s">
        <v>338</v>
      </c>
      <c r="DF12">
        <f>IF(COUNTIF(Diploma!$E$20:$E$83,DE12)&gt;=1,"",ROW())</f>
        <v>12</v>
      </c>
      <c r="DG12" t="str">
        <f t="shared" si="22"/>
        <v>Installing and Maintaining Computer Software</v>
      </c>
      <c r="DI12" t="s">
        <v>372</v>
      </c>
      <c r="DJ12">
        <f>IF(COUNTIF(Diploma!$E$20:$E$83,DI12)&gt;=1,"",ROW())</f>
        <v>12</v>
      </c>
      <c r="DK12" t="str">
        <f t="shared" si="23"/>
        <v>Producing a Music Recording</v>
      </c>
      <c r="DQ12" t="s">
        <v>405</v>
      </c>
      <c r="DR12">
        <f>IF(COUNTIF(Diploma!$E$20:$E$83,DQ12)&gt;=1,"",ROW())</f>
        <v>12</v>
      </c>
      <c r="DS12" t="str">
        <f t="shared" si="24"/>
        <v>Realising Costume Design for Performance</v>
      </c>
      <c r="DU12" t="s">
        <v>423</v>
      </c>
      <c r="DV12">
        <f>IF(COUNTIF(Diploma!$E$20:$E$83,DU12)&gt;=1,"",ROW())</f>
        <v>12</v>
      </c>
      <c r="DW12" t="str">
        <f t="shared" si="25"/>
        <v>Singing Skills in the Performing Arts</v>
      </c>
      <c r="DY12" t="s">
        <v>413</v>
      </c>
      <c r="DZ12">
        <f>IF(COUNTIF(Diploma!$E$20:$E$83,DY12)&gt;=1,"",ROW())</f>
        <v>12</v>
      </c>
      <c r="EA12" t="str">
        <f t="shared" si="26"/>
        <v>Make-up for Performance</v>
      </c>
      <c r="EG12" t="s">
        <v>414</v>
      </c>
      <c r="EH12">
        <f>IF(COUNTIF(Diploma!$E$20:$E$83,EG12)&gt;=1,"",ROW())</f>
        <v>12</v>
      </c>
      <c r="EI12" t="str">
        <f t="shared" si="28"/>
        <v>Wardrobe for Stage Performance</v>
      </c>
      <c r="EK12" t="s">
        <v>414</v>
      </c>
      <c r="EL12">
        <f>IF(COUNTIF(Diploma!$E$20:$E$83,EK12)&gt;=1,"",ROW())</f>
        <v>12</v>
      </c>
      <c r="EM12" t="str">
        <f t="shared" si="29"/>
        <v>Wardrobe for Stage Performance</v>
      </c>
      <c r="ES12" t="s">
        <v>448</v>
      </c>
      <c r="ET12">
        <f>IF(COUNTIF(Diploma!$E$20:$E$83,ES12)&gt;=1,"",ROW())</f>
        <v>12</v>
      </c>
      <c r="EU12" t="str">
        <f t="shared" si="31"/>
        <v>Health and Safety in the Public Services</v>
      </c>
      <c r="FI12" t="s">
        <v>475</v>
      </c>
      <c r="FJ12">
        <f>IF(COUNTIF(Diploma!$E$20:$E$83,FI12)&gt;=1,"",ROW())</f>
        <v>12</v>
      </c>
      <c r="FK12" t="str">
        <f t="shared" si="34"/>
        <v>Sport Community Volunteering</v>
      </c>
      <c r="FU12" t="s">
        <v>499</v>
      </c>
      <c r="FV12">
        <f>IF(COUNTIF(Diploma!$E$20:$E$83,FU12)&gt;=1,"",ROW())</f>
        <v>12</v>
      </c>
      <c r="FW12" t="str">
        <f t="shared" si="36"/>
        <v>Hospitality Operations in the Travel and Tourism Sector</v>
      </c>
    </row>
    <row r="13" spans="1:179" x14ac:dyDescent="0.25">
      <c r="A13" t="s">
        <v>35</v>
      </c>
      <c r="B13">
        <f>IF(COUNTIF(Diploma!$E$20:$E$83,A13)&gt;=1,"",ROW())</f>
        <v>13</v>
      </c>
      <c r="C13" t="str">
        <f t="shared" si="1"/>
        <v>Exploring our Universe</v>
      </c>
      <c r="E13" t="s">
        <v>124</v>
      </c>
      <c r="F13">
        <f>IF(OR(COUNTIF(Diploma!$E$20:$E$83,E13)&gt;=1,COUNTIF(Diploma!$E$20:$E$83,E3)&gt;=1),"",ROW())</f>
        <v>13</v>
      </c>
      <c r="G13" t="str">
        <f t="shared" si="2"/>
        <v>3D Design Briefs</v>
      </c>
      <c r="M13" t="s">
        <v>141</v>
      </c>
      <c r="N13">
        <f>IF(COUNTIF(Diploma!$E$20:$E$83,M13)&gt;=1,"",ROW())</f>
        <v>13</v>
      </c>
      <c r="O13" t="str">
        <f t="shared" si="4"/>
        <v>Surface Design</v>
      </c>
      <c r="U13" t="s">
        <v>129</v>
      </c>
      <c r="V13">
        <f>IF(COUNTIF(Diploma!$E$20:$E$83,U13)&gt;=1,"",ROW())</f>
        <v>13</v>
      </c>
      <c r="W13" t="str">
        <f t="shared" si="6"/>
        <v>Design Thinking</v>
      </c>
      <c r="Y13" t="s">
        <v>144</v>
      </c>
      <c r="Z13">
        <f>IF(COUNTIF(Diploma!$E$20:$E$83,Y13)&gt;=1,"",ROW())</f>
        <v>13</v>
      </c>
      <c r="AA13" t="str">
        <f t="shared" si="7"/>
        <v>Modelmaking</v>
      </c>
      <c r="AC13" t="s">
        <v>139</v>
      </c>
      <c r="AD13">
        <f>IF(COUNTIF(Diploma!$E$20:$E$83,AC13)&gt;=1,"",ROW())</f>
        <v>13</v>
      </c>
      <c r="AE13" t="str">
        <f t="shared" si="8"/>
        <v>Editing Photographic Images</v>
      </c>
      <c r="AG13" t="s">
        <v>169</v>
      </c>
      <c r="AH13">
        <f>IF(COUNTIF(Diploma!$E$20:$E$83,AG13)&gt;=1,"",ROW())</f>
        <v>13</v>
      </c>
      <c r="AI13" t="str">
        <f t="shared" si="9"/>
        <v>Enhancing the Customer Experience</v>
      </c>
      <c r="AK13" t="s">
        <v>201</v>
      </c>
      <c r="AL13">
        <f>IF(COUNTIF(Diploma!$E$20:$E$83,AK13)&gt;=1,"",ROW())</f>
        <v>13</v>
      </c>
      <c r="AM13" t="str">
        <f t="shared" si="10"/>
        <v>Exploring Roofing Principles and Techniques</v>
      </c>
      <c r="AO13" t="s">
        <v>228</v>
      </c>
      <c r="AP13">
        <f>IF(COUNTIF(Diploma!$E$20:$E$83,AO13)&gt;=1,"",ROW())</f>
        <v>13</v>
      </c>
      <c r="AQ13" t="str">
        <f t="shared" si="11"/>
        <v>Digital Games Testing</v>
      </c>
      <c r="AW13" t="s">
        <v>257</v>
      </c>
      <c r="AX13">
        <f>IF(COUNTIF(Diploma!$E$20:$E$83,AW13)&gt;=1,"",ROW())</f>
        <v>13</v>
      </c>
      <c r="AY13" t="str">
        <f t="shared" si="12"/>
        <v>Operation and Maintenance of Mechanical Systems and Components</v>
      </c>
      <c r="BU13" t="s">
        <v>268</v>
      </c>
      <c r="BV13">
        <f>IF(COUNTIF(Diploma!$E$20:$E$83,BU13)&gt;=1,"",ROW())</f>
        <v>13</v>
      </c>
      <c r="BW13" t="str">
        <f t="shared" si="15"/>
        <v>Application of Quality Control and Measurement in Engineering</v>
      </c>
      <c r="CO13" t="s">
        <v>321</v>
      </c>
      <c r="CP13">
        <f>IF(COUNTIF(Diploma!$E$20:$E$83,CO13)&gt;=1,"",ROW())</f>
        <v>13</v>
      </c>
      <c r="CQ13" t="str">
        <f t="shared" si="37"/>
        <v>Alcohol Awareness in Hospitality</v>
      </c>
      <c r="DA13" t="s">
        <v>339</v>
      </c>
      <c r="DB13">
        <f>IF(COUNTIF(Diploma!$E$20:$E$83,DA13)&gt;=1,"",ROW())</f>
        <v>13</v>
      </c>
      <c r="DC13" t="str">
        <f t="shared" si="21"/>
        <v>Automated Computer Systems</v>
      </c>
      <c r="DE13" t="s">
        <v>339</v>
      </c>
      <c r="DF13">
        <f>IF(COUNTIF(Diploma!$E$20:$E$83,DE13)&gt;=1,"",ROW())</f>
        <v>13</v>
      </c>
      <c r="DG13" t="str">
        <f t="shared" si="22"/>
        <v>Automated Computer Systems</v>
      </c>
      <c r="DI13" t="s">
        <v>373</v>
      </c>
      <c r="DJ13">
        <f>IF(COUNTIF(Diploma!$E$20:$E$83,DI13)&gt;=1,"",ROW())</f>
        <v>13</v>
      </c>
      <c r="DK13" t="str">
        <f t="shared" si="23"/>
        <v>Music Ensemble</v>
      </c>
      <c r="DQ13" t="s">
        <v>406</v>
      </c>
      <c r="DR13">
        <f>IF(COUNTIF(Diploma!$E$20:$E$83,DQ13)&gt;=1,"",ROW())</f>
        <v>13</v>
      </c>
      <c r="DS13" t="str">
        <f t="shared" si="24"/>
        <v>Realising Set Design for Performance</v>
      </c>
      <c r="DY13" t="s">
        <v>414</v>
      </c>
      <c r="DZ13">
        <f>IF(COUNTIF(Diploma!$E$20:$E$83,DY13)&gt;=1,"",ROW())</f>
        <v>13</v>
      </c>
      <c r="EA13" t="str">
        <f t="shared" si="26"/>
        <v>Wardrobe for Stage Performance</v>
      </c>
      <c r="EG13" t="s">
        <v>421</v>
      </c>
      <c r="EH13">
        <f>IF(COUNTIF(Diploma!$E$20:$E$83,EG13)&gt;=1,"",ROW())</f>
        <v>13</v>
      </c>
      <c r="EI13" t="str">
        <f t="shared" si="28"/>
        <v>Use of ICT in the Performing Arts</v>
      </c>
      <c r="EK13" t="s">
        <v>417</v>
      </c>
      <c r="EL13">
        <f>IF(COUNTIF(Diploma!$E$20:$E$83,EK13)&gt;=1,"",ROW())</f>
        <v>13</v>
      </c>
      <c r="EM13" t="str">
        <f t="shared" si="29"/>
        <v>Planning and Managing a Performing Arts Event</v>
      </c>
      <c r="ES13" t="s">
        <v>449</v>
      </c>
      <c r="ET13">
        <f>IF(COUNTIF(Diploma!$E$20:$E$83,ES13)&gt;=1,"",ROW())</f>
        <v>13</v>
      </c>
      <c r="EU13" t="str">
        <f t="shared" si="31"/>
        <v>Preparing to Respond to Emergency Incidents</v>
      </c>
      <c r="FI13" t="s">
        <v>466</v>
      </c>
      <c r="FJ13">
        <f>IF(COUNTIF(Diploma!$E$20:$E$83,FI13)&gt;=1,"",ROW())</f>
        <v>13</v>
      </c>
      <c r="FK13" t="str">
        <f t="shared" si="34"/>
        <v>Work Experience in Sport</v>
      </c>
      <c r="FU13" t="s">
        <v>500</v>
      </c>
      <c r="FV13">
        <f>IF(COUNTIF(Diploma!$E$20:$E$83,FU13)&gt;=1,"",ROW())</f>
        <v>13</v>
      </c>
      <c r="FW13" t="str">
        <f t="shared" si="36"/>
        <v>UK Visitor Attractions</v>
      </c>
    </row>
    <row r="14" spans="1:179" x14ac:dyDescent="0.25">
      <c r="A14" t="s">
        <v>36</v>
      </c>
      <c r="B14">
        <f>IF(COUNTIF(Diploma!$E$20:$E$83,A14)&gt;=1,"",ROW())</f>
        <v>14</v>
      </c>
      <c r="C14" t="str">
        <f t="shared" si="1"/>
        <v>Electronics in Action</v>
      </c>
      <c r="E14" t="s">
        <v>125</v>
      </c>
      <c r="F14">
        <f>IF(COUNTIF(Diploma!$E$20:$E$83,E14)&gt;=1,"",ROW())</f>
        <v>14</v>
      </c>
      <c r="G14" t="str">
        <f t="shared" si="2"/>
        <v>Digital Art and Design Briefs</v>
      </c>
      <c r="M14" t="s">
        <v>142</v>
      </c>
      <c r="N14">
        <f>IF(COUNTIF(Diploma!$E$20:$E$83,M14)&gt;=1,"",ROW())</f>
        <v>14</v>
      </c>
      <c r="O14" t="str">
        <f t="shared" si="4"/>
        <v>Sustainability in Art and Design Practice</v>
      </c>
      <c r="U14" t="s">
        <v>131</v>
      </c>
      <c r="V14">
        <f>IF(COUNTIF(Diploma!$E$20:$E$83,U14)&gt;=1,"",ROW())</f>
        <v>14</v>
      </c>
      <c r="W14" t="str">
        <f t="shared" si="6"/>
        <v>Moving Image Briefs</v>
      </c>
      <c r="Y14" t="s">
        <v>145</v>
      </c>
      <c r="Z14">
        <f>IF(COUNTIF(Diploma!$E$20:$E$83,Y14)&gt;=1,"",ROW())</f>
        <v>14</v>
      </c>
      <c r="AA14" t="str">
        <f t="shared" si="7"/>
        <v>Sculpture</v>
      </c>
      <c r="AC14" t="s">
        <v>142</v>
      </c>
      <c r="AD14">
        <f>IF(COUNTIF(Diploma!$E$20:$E$83,AC14)&gt;=1,"",ROW())</f>
        <v>14</v>
      </c>
      <c r="AE14" t="str">
        <f t="shared" si="8"/>
        <v>Sustainability in Art and Design Practice</v>
      </c>
      <c r="AG14" t="s">
        <v>170</v>
      </c>
      <c r="AH14">
        <f>IF(COUNTIF(Diploma!$E$20:$E$83,AG14)&gt;=1,"",ROW())</f>
        <v>14</v>
      </c>
      <c r="AI14" t="str">
        <f t="shared" si="9"/>
        <v>Visual Merchandising in Retail Business</v>
      </c>
      <c r="AK14" t="s">
        <v>202</v>
      </c>
      <c r="AL14">
        <f>IF(COUNTIF(Diploma!$E$20:$E$83,AK14)&gt;=1,"",ROW())</f>
        <v>14</v>
      </c>
      <c r="AM14" t="str">
        <f t="shared" si="10"/>
        <v>Exploring Wall and Floor Tiling Principles and Techniques</v>
      </c>
      <c r="AO14" t="s">
        <v>229</v>
      </c>
      <c r="AP14">
        <f>IF(COUNTIF(Diploma!$E$20:$E$83,AO14)&gt;=1,"",ROW())</f>
        <v>14</v>
      </c>
      <c r="AQ14" t="str">
        <f t="shared" si="11"/>
        <v>Digital Art for a Media Product</v>
      </c>
      <c r="AW14" t="s">
        <v>258</v>
      </c>
      <c r="AX14">
        <f>IF(COUNTIF(Diploma!$E$20:$E$83,AW14)&gt;=1,"",ROW())</f>
        <v>14</v>
      </c>
      <c r="AY14" t="str">
        <f t="shared" si="12"/>
        <v>Operation and Maintenance of Electronic Systems and Components</v>
      </c>
      <c r="CO14" t="s">
        <v>322</v>
      </c>
      <c r="CP14">
        <f>IF(COUNTIF(Diploma!$E$20:$E$83,CO14)&gt;=1,"",ROW())</f>
        <v>14</v>
      </c>
      <c r="CQ14" t="str">
        <f t="shared" si="37"/>
        <v>Hospitality Research Project</v>
      </c>
      <c r="DA14" t="s">
        <v>350</v>
      </c>
      <c r="DB14">
        <f>IF(COUNTIF(Diploma!$E$20:$E$83,DA14)&gt;=1,"",ROW())</f>
        <v>14</v>
      </c>
      <c r="DC14" t="str">
        <f t="shared" si="21"/>
        <v>Building a Personal Computer</v>
      </c>
      <c r="DE14" t="s">
        <v>350</v>
      </c>
      <c r="DF14">
        <f>IF(COUNTIF(Diploma!$E$20:$E$83,DE14)&gt;=1,"",ROW())</f>
        <v>14</v>
      </c>
      <c r="DG14" t="str">
        <f t="shared" si="22"/>
        <v>Building a Personal Computer</v>
      </c>
      <c r="DI14" t="s">
        <v>374</v>
      </c>
      <c r="DJ14">
        <f>IF(COUNTIF(Diploma!$E$20:$E$83,DI14)&gt;=1,"",ROW())</f>
        <v>14</v>
      </c>
      <c r="DK14" t="str">
        <f t="shared" si="23"/>
        <v>Developing Modern Music Production Skills</v>
      </c>
      <c r="DQ14" t="s">
        <v>407</v>
      </c>
      <c r="DR14">
        <f>IF(COUNTIF(Diploma!$E$20:$E$83,DQ14)&gt;=1,"",ROW())</f>
        <v>14</v>
      </c>
      <c r="DS14" t="str">
        <f t="shared" si="24"/>
        <v>Realising Prop Design for Performance</v>
      </c>
      <c r="DY14" t="s">
        <v>421</v>
      </c>
      <c r="DZ14">
        <f>IF(COUNTIF(Diploma!$E$20:$E$83,DY14)&gt;=1,"",ROW())</f>
        <v>14</v>
      </c>
      <c r="EA14" t="str">
        <f t="shared" si="26"/>
        <v>Use of ICT in the Performing Arts</v>
      </c>
      <c r="EG14" t="s">
        <v>422</v>
      </c>
      <c r="EH14">
        <f>IF(COUNTIF(Diploma!$E$20:$E$83,EG14)&gt;=1,"",ROW())</f>
        <v>14</v>
      </c>
      <c r="EI14" t="str">
        <f t="shared" si="28"/>
        <v>Work Experience in the Performing Arts</v>
      </c>
      <c r="EK14" t="s">
        <v>418</v>
      </c>
      <c r="EL14">
        <f>IF(COUNTIF(Diploma!$E$20:$E$83,EK14)&gt;=1,"",ROW())</f>
        <v>14</v>
      </c>
      <c r="EM14" t="str">
        <f t="shared" si="29"/>
        <v>Multimedia Production</v>
      </c>
      <c r="ES14" t="s">
        <v>450</v>
      </c>
      <c r="ET14">
        <f>IF(COUNTIF(Diploma!$E$20:$E$83,ES14)&gt;=1,"",ROW())</f>
        <v>14</v>
      </c>
      <c r="EU14" t="str">
        <f t="shared" si="31"/>
        <v>Security Procedures in the Public Services</v>
      </c>
      <c r="FU14" t="s">
        <v>501</v>
      </c>
      <c r="FV14">
        <f>IF(COUNTIF(Diploma!$E$20:$E$83,FU14)&gt;=1,"",ROW())</f>
        <v>14</v>
      </c>
      <c r="FW14" t="str">
        <f t="shared" si="36"/>
        <v>Overseas Holiday Operations</v>
      </c>
    </row>
    <row r="15" spans="1:179" x14ac:dyDescent="0.25">
      <c r="A15" t="s">
        <v>37</v>
      </c>
      <c r="B15">
        <f>IF(COUNTIF(Diploma!$E$20:$E$83,A15)&gt;=1,"",ROW())</f>
        <v>15</v>
      </c>
      <c r="C15" t="str">
        <f t="shared" si="1"/>
        <v>Biotechnology Procedures and Applications</v>
      </c>
      <c r="E15" t="s">
        <v>126</v>
      </c>
      <c r="F15">
        <f>IF(COUNTIF(Diploma!$E$20:$E$83,E15)&gt;=1,"",ROW())</f>
        <v>15</v>
      </c>
      <c r="G15" t="str">
        <f t="shared" si="2"/>
        <v>Interactive Media Production Briefs</v>
      </c>
      <c r="U15" t="s">
        <v>132</v>
      </c>
      <c r="V15">
        <f>IF(COUNTIF(Diploma!$E$20:$E$83,U15)&gt;=1,"",ROW())</f>
        <v>15</v>
      </c>
      <c r="W15" t="str">
        <f>IF(ROW(U15)-ROW(U$2)+1&gt;COUNT(V$2:V$50),"",INDEX(U:U,SMALL(V$2:V$50,1+ROW(U15)-ROW(U$2))))</f>
        <v>Interaction Design</v>
      </c>
      <c r="AC15" t="s">
        <v>143</v>
      </c>
      <c r="AD15">
        <f>IF(COUNTIF(Diploma!$E$20:$E$83,AC15)&gt;=1,"",ROW())</f>
        <v>15</v>
      </c>
      <c r="AE15" t="str">
        <f t="shared" si="8"/>
        <v>Advertising Briefs</v>
      </c>
      <c r="AG15" t="s">
        <v>171</v>
      </c>
      <c r="AH15">
        <f>IF(COUNTIF(Diploma!$E$20:$E$83,AG15)&gt;=1,"",ROW())</f>
        <v>15</v>
      </c>
      <c r="AI15" t="str">
        <f t="shared" si="9"/>
        <v>Delivering and Improving Customer Service</v>
      </c>
      <c r="AK15" t="s">
        <v>203</v>
      </c>
      <c r="AL15">
        <f>IF(COUNTIF(Diploma!$E$20:$E$83,AK15)&gt;=1,"",ROW())</f>
        <v>15</v>
      </c>
      <c r="AM15" t="str">
        <f t="shared" si="10"/>
        <v>Exploring Plastering and Dry Lining Principles and Techniques</v>
      </c>
      <c r="AO15" t="s">
        <v>230</v>
      </c>
      <c r="AP15">
        <f>IF(COUNTIF(Diploma!$E$20:$E$83,AO15)&gt;=1,"",ROW())</f>
        <v>15</v>
      </c>
      <c r="AQ15" t="str">
        <f t="shared" si="11"/>
        <v>Digital Audio Mixing</v>
      </c>
      <c r="AW15" t="s">
        <v>259</v>
      </c>
      <c r="AX15">
        <f>IF(COUNTIF(Diploma!$E$20:$E$83,AW15)&gt;=1,"",ROW())</f>
        <v>15</v>
      </c>
      <c r="AY15" t="str">
        <f t="shared" si="12"/>
        <v>Operation and Maintenance of Electrical Systems and Components</v>
      </c>
      <c r="CO15" t="s">
        <v>323</v>
      </c>
      <c r="CP15">
        <f>IF(OR(COUNTIF(Diploma!$E$20:$E$83,CO15)&gt;=1,COUNTIF(Diploma!$E$20:$E$83,CO16)&gt;=1),"",ROW())</f>
        <v>15</v>
      </c>
      <c r="CQ15" t="str">
        <f t="shared" si="37"/>
        <v>Work Experience in Hospitality</v>
      </c>
      <c r="DA15" t="s">
        <v>340</v>
      </c>
      <c r="DB15">
        <f>IF(COUNTIF(Diploma!$E$20:$E$83,DA15)&gt;=1,"",ROW())</f>
        <v>15</v>
      </c>
      <c r="DC15" t="str">
        <f t="shared" si="21"/>
        <v>A Technology Business</v>
      </c>
      <c r="DE15" t="s">
        <v>340</v>
      </c>
      <c r="DF15">
        <f>IF(COUNTIF(Diploma!$E$20:$E$83,DE15)&gt;=1,"",ROW())</f>
        <v>15</v>
      </c>
      <c r="DG15" t="str">
        <f t="shared" si="22"/>
        <v>A Technology Business</v>
      </c>
      <c r="DI15" t="s">
        <v>375</v>
      </c>
      <c r="DJ15">
        <f>IF(COUNTIF(Diploma!$E$20:$E$83,DI15)&gt;=1,"",ROW())</f>
        <v>15</v>
      </c>
      <c r="DK15" t="str">
        <f t="shared" si="23"/>
        <v>Developing Music Theory</v>
      </c>
      <c r="DQ15" t="s">
        <v>408</v>
      </c>
      <c r="DR15">
        <f>IF(COUNTIF(Diploma!$E$20:$E$83,DQ15)&gt;=1,"",ROW())</f>
        <v>15</v>
      </c>
      <c r="DS15" t="str">
        <f t="shared" si="24"/>
        <v>Realising Mask Design for Performance</v>
      </c>
      <c r="DY15" t="s">
        <v>422</v>
      </c>
      <c r="DZ15">
        <f>IF(COUNTIF(Diploma!$E$20:$E$83,DY15)&gt;=1,"",ROW())</f>
        <v>15</v>
      </c>
      <c r="EA15" t="str">
        <f t="shared" si="26"/>
        <v>Work Experience in the Performing Arts</v>
      </c>
      <c r="EK15" t="s">
        <v>421</v>
      </c>
      <c r="EL15">
        <f>IF(COUNTIF(Diploma!$E$20:$E$83,EK15)&gt;=1,"",ROW())</f>
        <v>15</v>
      </c>
      <c r="EM15" t="str">
        <f t="shared" si="29"/>
        <v>Use of ICT in the Performing Arts</v>
      </c>
      <c r="ES15" t="s">
        <v>451</v>
      </c>
      <c r="ET15">
        <f>IF(COUNTIF(Diploma!$E$20:$E$83,ES15)&gt;=1,"",ROW())</f>
        <v>15</v>
      </c>
      <c r="EU15" t="str">
        <f t="shared" si="31"/>
        <v>Law and its Impact on the Individual</v>
      </c>
    </row>
    <row r="16" spans="1:179" x14ac:dyDescent="0.25">
      <c r="A16" t="s">
        <v>38</v>
      </c>
      <c r="B16">
        <f>IF(COUNTIF(Diploma!$E$20:$E$83,A16)&gt;=1,"",ROW())</f>
        <v>16</v>
      </c>
      <c r="C16" t="str">
        <f t="shared" si="1"/>
        <v>Further Chemistry</v>
      </c>
      <c r="E16" t="s">
        <v>127</v>
      </c>
      <c r="F16">
        <f>IF(OR(COUNTIF(Diploma!$E$20:$E$83,E16)&gt;=1,COUNTIF(Diploma!$E$20:$E$83,E2)&gt;=1),"",ROW())</f>
        <v>16</v>
      </c>
      <c r="G16" t="str">
        <f t="shared" si="2"/>
        <v>Painting Briefs</v>
      </c>
      <c r="U16" t="s">
        <v>135</v>
      </c>
      <c r="V16">
        <f>IF(COUNTIF(Diploma!$E$20:$E$83,U16)&gt;=1,"",ROW())</f>
        <v>16</v>
      </c>
      <c r="W16" t="str">
        <f>IF(ROW(U16)-ROW(U$2)+1&gt;COUNT(V$2:V$50),"",INDEX(U:U,SMALL(V$2:V$50,1+ROW(U16)-ROW(U$2))))</f>
        <v>Ceramics</v>
      </c>
      <c r="AC16" t="s">
        <v>144</v>
      </c>
      <c r="AD16">
        <f>IF(COUNTIF(Diploma!$E$20:$E$83,AC16)&gt;=1,"",ROW())</f>
        <v>16</v>
      </c>
      <c r="AE16" t="str">
        <f t="shared" si="8"/>
        <v>Modelmaking</v>
      </c>
      <c r="AG16" t="s">
        <v>172</v>
      </c>
      <c r="AH16">
        <f>IF(COUNTIF(Diploma!$E$20:$E$83,AG16)&gt;=1,"",ROW())</f>
        <v>16</v>
      </c>
      <c r="AI16" t="str">
        <f t="shared" si="9"/>
        <v>Effective Business Communication</v>
      </c>
      <c r="AK16" t="s">
        <v>204</v>
      </c>
      <c r="AL16">
        <f>IF(COUNTIF(Diploma!$E$20:$E$83,AK16)&gt;=1,"",ROW())</f>
        <v>16</v>
      </c>
      <c r="AM16" t="str">
        <f t="shared" si="10"/>
        <v>Carpentry and Joinery Operations</v>
      </c>
      <c r="AO16" t="s">
        <v>231</v>
      </c>
      <c r="AP16">
        <f>IF(COUNTIF(Diploma!$E$20:$E$83,AO16)&gt;=1,"",ROW())</f>
        <v>16</v>
      </c>
      <c r="AQ16" t="str">
        <f t="shared" si="11"/>
        <v>Lighting for Moving Image</v>
      </c>
      <c r="AW16" t="s">
        <v>260</v>
      </c>
      <c r="AX16">
        <f>IF(COUNTIF(Diploma!$E$20:$E$83,AW16)&gt;=1,"",ROW())</f>
        <v>16</v>
      </c>
      <c r="AY16" t="str">
        <f t="shared" si="12"/>
        <v>Operation and Maintenance of Fluid Power Systems and Components</v>
      </c>
      <c r="CO16" t="s">
        <v>324</v>
      </c>
      <c r="CP16">
        <f>IF(OR(COUNTIF(Diploma!$E$20:$E$83,CO16)&gt;=1,COUNTIF(Diploma!$E$20:$E$83,CO15)&gt;=1),"",ROW())</f>
        <v>16</v>
      </c>
      <c r="CQ16" t="str">
        <f t="shared" si="37"/>
        <v>Hospitality Community Volunteering</v>
      </c>
      <c r="DA16" t="s">
        <v>342</v>
      </c>
      <c r="DB16">
        <f>IF(COUNTIF(Diploma!$E$20:$E$83,DA16)&gt;=1,"",ROW())</f>
        <v>16</v>
      </c>
      <c r="DC16" t="str">
        <f t="shared" si="21"/>
        <v>Computer Systems Support in Practice</v>
      </c>
      <c r="DE16" t="s">
        <v>342</v>
      </c>
      <c r="DF16">
        <f>IF(COUNTIF(Diploma!$E$20:$E$83,DE16)&gt;=1,"",ROW())</f>
        <v>16</v>
      </c>
      <c r="DG16" t="str">
        <f t="shared" si="22"/>
        <v>Computer Systems Support in Practice</v>
      </c>
      <c r="DI16" t="s">
        <v>376</v>
      </c>
      <c r="DJ16">
        <f>IF(COUNTIF(Diploma!$E$20:$E$83,DI16)&gt;=1,"",ROW())</f>
        <v>16</v>
      </c>
      <c r="DK16" t="str">
        <f t="shared" si="23"/>
        <v>Music Fusion</v>
      </c>
      <c r="DQ16" t="s">
        <v>409</v>
      </c>
      <c r="DR16">
        <f>IF(COUNTIF(Diploma!$E$20:$E$83,DQ16)&gt;=1,"",ROW())</f>
        <v>16</v>
      </c>
      <c r="DS16" t="str">
        <f t="shared" si="24"/>
        <v>Lighting for Performance</v>
      </c>
      <c r="EK16" t="s">
        <v>422</v>
      </c>
      <c r="EL16">
        <f>IF(COUNTIF(Diploma!$E$20:$E$83,EK16)&gt;=1,"",ROW())</f>
        <v>16</v>
      </c>
      <c r="EM16" t="str">
        <f t="shared" si="29"/>
        <v>Work Experience in the Performing Arts</v>
      </c>
    </row>
    <row r="17" spans="1:123" x14ac:dyDescent="0.25">
      <c r="A17" t="s">
        <v>39</v>
      </c>
      <c r="B17">
        <f>IF(COUNTIF(Diploma!$E$20:$E$83,A17)&gt;=1,"",ROW())</f>
        <v>17</v>
      </c>
      <c r="C17" t="str">
        <f t="shared" si="1"/>
        <v>Further Physics</v>
      </c>
      <c r="E17" t="s">
        <v>128</v>
      </c>
      <c r="F17">
        <f>IF(OR(COUNTIF(Diploma!$E$20:$E$83,E17)&gt;=1,COUNTIF(Diploma!$E$20:$E$83,E3)&gt;=1),"",ROW())</f>
        <v>17</v>
      </c>
      <c r="G17" t="str">
        <f t="shared" si="2"/>
        <v>Designing Products</v>
      </c>
      <c r="U17" t="s">
        <v>142</v>
      </c>
      <c r="V17">
        <f>IF(COUNTIF(Diploma!$E$20:$E$83,U17)&gt;=1,"",ROW())</f>
        <v>17</v>
      </c>
      <c r="W17" t="str">
        <f>IF(ROW(U17)-ROW(U$2)+1&gt;COUNT(V$2:V$50),"",INDEX(U:U,SMALL(V$2:V$50,1+ROW(U17)-ROW(U$2))))</f>
        <v>Sustainability in Art and Design Practice</v>
      </c>
      <c r="AG17" t="s">
        <v>173</v>
      </c>
      <c r="AH17">
        <f>IF(COUNTIF(Diploma!$E$20:$E$83,AG17)&gt;=1,"",ROW())</f>
        <v>17</v>
      </c>
      <c r="AI17" t="str">
        <f t="shared" si="9"/>
        <v>Working in Business Teams</v>
      </c>
      <c r="AK17" t="s">
        <v>205</v>
      </c>
      <c r="AL17">
        <f>IF(COUNTIF(Diploma!$E$20:$E$83,AK17)&gt;=1,"",ROW())</f>
        <v>17</v>
      </c>
      <c r="AM17" t="str">
        <f t="shared" si="10"/>
        <v>Brickwork and Blockwork Operations</v>
      </c>
      <c r="AO17" t="s">
        <v>232</v>
      </c>
      <c r="AP17">
        <f>IF(COUNTIF(Diploma!$E$20:$E$83,AO17)&gt;=1,"",ROW())</f>
        <v>17</v>
      </c>
      <c r="AQ17" t="str">
        <f t="shared" si="11"/>
        <v>Advertising Production</v>
      </c>
      <c r="AW17" t="s">
        <v>261</v>
      </c>
      <c r="AX17">
        <f>IF(COUNTIF(Diploma!$E$20:$E$83,AW17)&gt;=1,"",ROW())</f>
        <v>17</v>
      </c>
      <c r="AY17" t="str">
        <f t="shared" si="12"/>
        <v>Fabrication Techniques</v>
      </c>
      <c r="CO17" t="s">
        <v>325</v>
      </c>
      <c r="CP17">
        <f>IF(COUNTIF(Diploma!$E$20:$E$83,CO17)&gt;=1,"",ROW())</f>
        <v>17</v>
      </c>
      <c r="CQ17" t="str">
        <f t="shared" si="37"/>
        <v>Sales and Merchandising in Hospitality</v>
      </c>
      <c r="DA17" t="s">
        <v>351</v>
      </c>
      <c r="DB17">
        <f>IF(COUNTIF(Diploma!$E$20:$E$83,DA17)&gt;=1,"",ROW())</f>
        <v>17</v>
      </c>
      <c r="DC17" t="str">
        <f t="shared" si="21"/>
        <v>IT Work Experience</v>
      </c>
      <c r="DE17" t="s">
        <v>351</v>
      </c>
      <c r="DF17">
        <f>IF(COUNTIF(Diploma!$E$20:$E$83,DE17)&gt;=1,"",ROW())</f>
        <v>17</v>
      </c>
      <c r="DG17" t="str">
        <f t="shared" si="22"/>
        <v>IT Work Experience</v>
      </c>
      <c r="DI17" t="s">
        <v>377</v>
      </c>
      <c r="DJ17">
        <f>IF(COUNTIF(Diploma!$E$20:$E$83,DI17)&gt;=1,"",ROW())</f>
        <v>17</v>
      </c>
      <c r="DK17" t="str">
        <f t="shared" si="23"/>
        <v>Music Arrangement</v>
      </c>
      <c r="DQ17" t="s">
        <v>410</v>
      </c>
      <c r="DR17">
        <f>IF(COUNTIF(Diploma!$E$20:$E$83,DQ17)&gt;=1,"",ROW())</f>
        <v>17</v>
      </c>
      <c r="DS17" t="str">
        <f t="shared" si="24"/>
        <v>Sound for Performance</v>
      </c>
    </row>
    <row r="18" spans="1:123" x14ac:dyDescent="0.25">
      <c r="E18" t="s">
        <v>129</v>
      </c>
      <c r="F18">
        <f>IF(COUNTIF(Diploma!$E$20:$E$83,E18)&gt;=1,"",ROW())</f>
        <v>18</v>
      </c>
      <c r="G18" t="str">
        <f t="shared" si="2"/>
        <v>Design Thinking</v>
      </c>
      <c r="U18" t="s">
        <v>144</v>
      </c>
      <c r="V18">
        <f>IF(COUNTIF(Diploma!$E$20:$E$83,U18)&gt;=1,"",ROW())</f>
        <v>18</v>
      </c>
      <c r="W18" t="str">
        <f>IF(ROW(U18)-ROW(U$2)+1&gt;COUNT(V$2:V$50),"",INDEX(U:U,SMALL(V$2:V$50,1+ROW(U18)-ROW(U$2))))</f>
        <v>Modelmaking</v>
      </c>
      <c r="AG18" t="s">
        <v>174</v>
      </c>
      <c r="AH18">
        <f>IF(COUNTIF(Diploma!$E$20:$E$83,AG18)&gt;=1,"",ROW())</f>
        <v>18</v>
      </c>
      <c r="AI18" t="str">
        <f t="shared" si="9"/>
        <v>Planning, Forecasting and Recording Business Finances</v>
      </c>
      <c r="AK18" t="s">
        <v>206</v>
      </c>
      <c r="AL18">
        <f>IF(COUNTIF(Diploma!$E$20:$E$83,AK18)&gt;=1,"",ROW())</f>
        <v>18</v>
      </c>
      <c r="AM18" t="str">
        <f t="shared" si="10"/>
        <v>Painting and Paperhanging Operations</v>
      </c>
      <c r="AO18" t="s">
        <v>233</v>
      </c>
      <c r="AP18">
        <f>IF(COUNTIF(Diploma!$E$20:$E$83,AO18)&gt;=1,"",ROW())</f>
        <v>18</v>
      </c>
      <c r="AQ18" t="str">
        <f t="shared" si="11"/>
        <v>Factual Media Production</v>
      </c>
      <c r="AW18" t="s">
        <v>262</v>
      </c>
      <c r="AX18">
        <f>IF(COUNTIF(Diploma!$E$20:$E$83,AW18)&gt;=1,"",ROW())</f>
        <v>18</v>
      </c>
      <c r="AY18" t="str">
        <f t="shared" si="12"/>
        <v>Casting Techniques</v>
      </c>
      <c r="CO18" t="s">
        <v>326</v>
      </c>
      <c r="CP18">
        <f>IF(COUNTIF(Diploma!$E$20:$E$83,CO18)&gt;=1,"",ROW())</f>
        <v>18</v>
      </c>
      <c r="CQ18" t="str">
        <f t="shared" si="37"/>
        <v>Barista Skills in Hospitality</v>
      </c>
      <c r="DI18" t="s">
        <v>378</v>
      </c>
      <c r="DJ18">
        <f>IF(COUNTIF(Diploma!$E$20:$E$83,DI18)&gt;=1,"",ROW())</f>
        <v>18</v>
      </c>
      <c r="DK18" t="str">
        <f t="shared" si="23"/>
        <v>Exploring Music Improvisation</v>
      </c>
      <c r="DQ18" t="s">
        <v>411</v>
      </c>
      <c r="DR18">
        <f>IF(COUNTIF(Diploma!$E$20:$E$83,DQ18)&gt;=1,"",ROW())</f>
        <v>18</v>
      </c>
      <c r="DS18" t="str">
        <f t="shared" si="24"/>
        <v>Supporting Performance: Stage Management</v>
      </c>
    </row>
    <row r="19" spans="1:123" x14ac:dyDescent="0.25">
      <c r="E19" t="s">
        <v>130</v>
      </c>
      <c r="F19">
        <f>IF(COUNTIF(Diploma!$E$20:$E$83,E19)&gt;=1,"",ROW())</f>
        <v>19</v>
      </c>
      <c r="G19" t="str">
        <f t="shared" si="2"/>
        <v>Fashion Promotion</v>
      </c>
      <c r="AG19" t="s">
        <v>175</v>
      </c>
      <c r="AH19">
        <f>IF(OR(COUNTIF(Diploma!$E$20:$E$83,AG19)&gt;=1,COUNTIF(Diploma!$E$20:$E$83,AG6)&gt;=1),"",ROW())</f>
        <v>19</v>
      </c>
      <c r="AI19" t="str">
        <f t="shared" si="9"/>
        <v>Work Experience in Business</v>
      </c>
      <c r="AK19" t="s">
        <v>207</v>
      </c>
      <c r="AL19">
        <f>IF(COUNTIF(Diploma!$E$20:$E$83,AK19)&gt;=1,"",ROW())</f>
        <v>19</v>
      </c>
      <c r="AM19" t="str">
        <f t="shared" si="10"/>
        <v>Plumbing Operations</v>
      </c>
      <c r="AW19" t="s">
        <v>263</v>
      </c>
      <c r="AX19">
        <f>IF(COUNTIF(Diploma!$E$20:$E$83,AW19)&gt;=1,"",ROW())</f>
        <v>19</v>
      </c>
      <c r="AY19" t="str">
        <f t="shared" si="12"/>
        <v>Vehicle Maintenance Techniques</v>
      </c>
      <c r="DI19" t="s">
        <v>379</v>
      </c>
      <c r="DJ19">
        <f>IF(COUNTIF(Diploma!$E$20:$E$83,DI19)&gt;=1,"",ROW())</f>
        <v>19</v>
      </c>
      <c r="DK19" t="str">
        <f t="shared" si="23"/>
        <v>Exploring DJing</v>
      </c>
      <c r="DQ19" t="s">
        <v>412</v>
      </c>
      <c r="DR19">
        <f>IF(COUNTIF(Diploma!$E$20:$E$83,DQ19)&gt;=1,"",ROW())</f>
        <v>19</v>
      </c>
      <c r="DS19" t="str">
        <f t="shared" si="24"/>
        <v>Supporting Performance: Front of House</v>
      </c>
    </row>
    <row r="20" spans="1:123" x14ac:dyDescent="0.25">
      <c r="E20" t="s">
        <v>131</v>
      </c>
      <c r="F20">
        <f>IF(COUNTIF(Diploma!$E$20:$E$83,E20)&gt;=1,"",ROW())</f>
        <v>20</v>
      </c>
      <c r="G20" t="str">
        <f t="shared" si="2"/>
        <v>Moving Image Briefs</v>
      </c>
      <c r="AG20" t="s">
        <v>176</v>
      </c>
      <c r="AH20">
        <f>IF(COUNTIF(Diploma!$E$20:$E$83,AG20)&gt;=1,"",ROW())</f>
        <v>20</v>
      </c>
      <c r="AI20" t="str">
        <f t="shared" si="9"/>
        <v>Introducing International Business</v>
      </c>
      <c r="AK20" t="s">
        <v>208</v>
      </c>
      <c r="AL20">
        <f>IF(COUNTIF(Diploma!$E$20:$E$83,AK20)&gt;=1,"",ROW())</f>
        <v>20</v>
      </c>
      <c r="AM20" t="str">
        <f t="shared" si="10"/>
        <v>Electrical Operations</v>
      </c>
      <c r="AW20" t="s">
        <v>264</v>
      </c>
      <c r="AX20">
        <f>IF(COUNTIF(Diploma!$E$20:$E$83,AW20)&gt;=1,"",ROW())</f>
        <v>20</v>
      </c>
      <c r="AY20" t="str">
        <f t="shared" si="12"/>
        <v>Production Planning for Engineering</v>
      </c>
      <c r="DI20" t="s">
        <v>380</v>
      </c>
      <c r="DJ20">
        <f>IF(COUNTIF(Diploma!$E$20:$E$83,DI20)&gt;=1,"",ROW())</f>
        <v>20</v>
      </c>
      <c r="DK20" t="str">
        <f t="shared" si="23"/>
        <v>Music Promotion</v>
      </c>
      <c r="DQ20" t="s">
        <v>413</v>
      </c>
      <c r="DR20">
        <f>IF(COUNTIF(Diploma!$E$20:$E$83,DQ20)&gt;=1,"",ROW())</f>
        <v>20</v>
      </c>
      <c r="DS20" t="str">
        <f t="shared" si="24"/>
        <v>Make-up for Performance</v>
      </c>
    </row>
    <row r="21" spans="1:123" x14ac:dyDescent="0.25">
      <c r="E21" t="s">
        <v>132</v>
      </c>
      <c r="F21">
        <f>IF(COUNTIF(Diploma!$E$20:$E$83,E21)&gt;=1,"",ROW())</f>
        <v>21</v>
      </c>
      <c r="G21" t="str">
        <f t="shared" si="2"/>
        <v>Interaction Design</v>
      </c>
      <c r="AG21" t="s">
        <v>177</v>
      </c>
      <c r="AH21">
        <f>IF(COUNTIF(Diploma!$E$20:$E$83,AG21)&gt;=1,"",ROW())</f>
        <v>21</v>
      </c>
      <c r="AI21" t="str">
        <f t="shared" si="9"/>
        <v>Introducing the Economic Environment</v>
      </c>
      <c r="AK21" t="s">
        <v>209</v>
      </c>
      <c r="AL21">
        <f>IF(COUNTIF(Diploma!$E$20:$E$83,AK21)&gt;=1,"",ROW())</f>
        <v>21</v>
      </c>
      <c r="AM21" t="str">
        <f t="shared" si="10"/>
        <v>Tendering and Estimating</v>
      </c>
      <c r="AW21" t="s">
        <v>265</v>
      </c>
      <c r="AX21">
        <f>IF(COUNTIF(Diploma!$E$20:$E$83,AW21)&gt;=1,"",ROW())</f>
        <v>21</v>
      </c>
      <c r="AY21" t="str">
        <f t="shared" si="12"/>
        <v>Engineering Marking Out</v>
      </c>
      <c r="DI21" t="s">
        <v>381</v>
      </c>
      <c r="DJ21">
        <f>IF(COUNTIF(Diploma!$E$20:$E$83,DI21)&gt;=1,"",ROW())</f>
        <v>21</v>
      </c>
      <c r="DK21" t="str">
        <f t="shared" si="23"/>
        <v>Digital and Mobile Technology for Music</v>
      </c>
      <c r="DQ21" t="s">
        <v>414</v>
      </c>
      <c r="DR21">
        <f>IF(COUNTIF(Diploma!$E$20:$E$83,DQ21)&gt;=1,"",ROW())</f>
        <v>21</v>
      </c>
      <c r="DS21" t="str">
        <f t="shared" si="24"/>
        <v>Wardrobe for Stage Performance</v>
      </c>
    </row>
    <row r="22" spans="1:123" x14ac:dyDescent="0.25">
      <c r="E22" t="s">
        <v>133</v>
      </c>
      <c r="F22">
        <f>IF(COUNTIF(Diploma!$E$20:$E$83,E22)&gt;=1,"",ROW())</f>
        <v>22</v>
      </c>
      <c r="G22" t="str">
        <f t="shared" si="2"/>
        <v>Printmaking Briefs</v>
      </c>
      <c r="AG22" t="s">
        <v>178</v>
      </c>
      <c r="AH22">
        <f>IF(COUNTIF(Diploma!$E$20:$E$83,AG22)&gt;=1,"",ROW())</f>
        <v>22</v>
      </c>
      <c r="AI22" t="str">
        <f t="shared" si="9"/>
        <v>Efficient Business Operations</v>
      </c>
      <c r="AK22" t="s">
        <v>210</v>
      </c>
      <c r="AL22">
        <f>IF(COUNTIF(Diploma!$E$20:$E$83,AK22)&gt;=1,"",ROW())</f>
        <v>22</v>
      </c>
      <c r="AM22" t="str">
        <f t="shared" si="10"/>
        <v>Exploring Surveying</v>
      </c>
      <c r="AW22" t="s">
        <v>266</v>
      </c>
      <c r="AX22">
        <f>IF(COUNTIF(Diploma!$E$20:$E$83,AW22)&gt;=1,"",ROW())</f>
        <v>22</v>
      </c>
      <c r="AY22" t="str">
        <f t="shared" si="12"/>
        <v>Preparing and Controlling Engineering Manufacturing Operations</v>
      </c>
      <c r="DI22" t="s">
        <v>382</v>
      </c>
      <c r="DJ22">
        <f>IF(COUNTIF(Diploma!$E$20:$E$83,DI22)&gt;=1,"",ROW())</f>
        <v>22</v>
      </c>
      <c r="DK22" t="str">
        <f t="shared" si="23"/>
        <v>Composing for Visual Media</v>
      </c>
      <c r="DQ22" t="s">
        <v>415</v>
      </c>
      <c r="DR22">
        <f>IF(COUNTIF(Diploma!$E$20:$E$83,DQ22)&gt;=1,"",ROW())</f>
        <v>22</v>
      </c>
      <c r="DS22" t="str">
        <f t="shared" si="24"/>
        <v>Choreographing Dance</v>
      </c>
    </row>
    <row r="23" spans="1:123" x14ac:dyDescent="0.25">
      <c r="E23" t="s">
        <v>134</v>
      </c>
      <c r="F23">
        <f>IF(COUNTIF(Diploma!$E$20:$E$83,E23)&gt;=1,"",ROW())</f>
        <v>23</v>
      </c>
      <c r="G23" t="str">
        <f t="shared" si="2"/>
        <v>Drawing from Observation</v>
      </c>
      <c r="AG23" t="s">
        <v>179</v>
      </c>
      <c r="AH23">
        <f>IF(COUNTIF(Diploma!$E$20:$E$83,AG23)&gt;=1,"",ROW())</f>
        <v>23</v>
      </c>
      <c r="AI23" t="str">
        <f t="shared" si="9"/>
        <v>Principles of Procurement and Supply</v>
      </c>
      <c r="AW23" t="s">
        <v>267</v>
      </c>
      <c r="AX23">
        <f>IF(COUNTIF(Diploma!$E$20:$E$83,AW23)&gt;=1,"",ROW())</f>
        <v>23</v>
      </c>
      <c r="AY23" t="str">
        <f t="shared" si="12"/>
        <v>PC Software and Hardware in Engineering</v>
      </c>
      <c r="DI23" t="s">
        <v>383</v>
      </c>
      <c r="DJ23">
        <f>IF(COUNTIF(Diploma!$E$20:$E$83,DI23)&gt;=1,"",ROW())</f>
        <v>23</v>
      </c>
      <c r="DK23" t="str">
        <f t="shared" si="23"/>
        <v>Enterprise and Music</v>
      </c>
      <c r="DQ23" t="s">
        <v>416</v>
      </c>
      <c r="DR23">
        <f>IF(COUNTIF(Diploma!$E$20:$E$83,DQ23)&gt;=1,"",ROW())</f>
        <v>23</v>
      </c>
      <c r="DS23" t="str">
        <f t="shared" si="24"/>
        <v>Directing Performance</v>
      </c>
    </row>
    <row r="24" spans="1:123" x14ac:dyDescent="0.25">
      <c r="E24" t="s">
        <v>135</v>
      </c>
      <c r="F24">
        <f>IF(COUNTIF(Diploma!$E$20:$E$83,E24)&gt;=1,"",ROW())</f>
        <v>24</v>
      </c>
      <c r="G24" t="str">
        <f t="shared" si="2"/>
        <v>Ceramics</v>
      </c>
      <c r="AG24" t="s">
        <v>180</v>
      </c>
      <c r="AH24">
        <f>IF(COUNTIF(Diploma!$E$20:$E$83,AG24)&gt;=1,"",ROW())</f>
        <v>24</v>
      </c>
      <c r="AI24" t="str">
        <f t="shared" si="9"/>
        <v>Implementing Procurement and Supply in Business</v>
      </c>
      <c r="AW24" t="s">
        <v>268</v>
      </c>
      <c r="AX24">
        <f>IF(COUNTIF(Diploma!$E$20:$E$83,AW24)&gt;=1,"",ROW())</f>
        <v>24</v>
      </c>
      <c r="AY24" t="str">
        <f t="shared" si="12"/>
        <v>Application of Quality Control and Measurement in Engineering</v>
      </c>
      <c r="DQ24" t="s">
        <v>417</v>
      </c>
      <c r="DR24">
        <f>IF(COUNTIF(Diploma!$E$20:$E$83,DQ24)&gt;=1,"",ROW())</f>
        <v>24</v>
      </c>
      <c r="DS24" t="str">
        <f t="shared" si="24"/>
        <v>Planning and Managing a Performing Arts Event</v>
      </c>
    </row>
    <row r="25" spans="1:123" x14ac:dyDescent="0.25">
      <c r="E25" t="s">
        <v>136</v>
      </c>
      <c r="F25">
        <f>IF(COUNTIF(Diploma!$E$20:$E$83,E25)&gt;=1,"",ROW())</f>
        <v>25</v>
      </c>
      <c r="G25" t="str">
        <f t="shared" si="2"/>
        <v>Studio Photography</v>
      </c>
      <c r="AG25" t="s">
        <v>181</v>
      </c>
      <c r="AH25">
        <f>IF(COUNTIF(Diploma!$E$20:$E$83,AG25)&gt;=1,"",ROW())</f>
        <v>25</v>
      </c>
      <c r="AI25" t="str">
        <f t="shared" si="9"/>
        <v>Corporate Social Responsibility</v>
      </c>
      <c r="DQ25" t="s">
        <v>418</v>
      </c>
      <c r="DR25">
        <f>IF(COUNTIF(Diploma!$E$20:$E$83,DQ25)&gt;=1,"",ROW())</f>
        <v>25</v>
      </c>
      <c r="DS25" t="str">
        <f t="shared" si="24"/>
        <v>Multimedia Production</v>
      </c>
    </row>
    <row r="26" spans="1:123" x14ac:dyDescent="0.25">
      <c r="E26" t="s">
        <v>137</v>
      </c>
      <c r="F26">
        <f>IF(COUNTIF(Diploma!$E$20:$E$83,E26)&gt;=1,"",ROW())</f>
        <v>26</v>
      </c>
      <c r="G26" t="str">
        <f t="shared" si="2"/>
        <v>Location Photography</v>
      </c>
      <c r="AG26" t="s">
        <v>182</v>
      </c>
      <c r="AH26">
        <f>IF(COUNTIF(Diploma!$E$20:$E$83,AG26)&gt;=1,"",ROW())</f>
        <v>26</v>
      </c>
      <c r="AI26" t="str">
        <f t="shared" si="9"/>
        <v>Managing Personal Finances</v>
      </c>
      <c r="DQ26" t="s">
        <v>419</v>
      </c>
      <c r="DR26">
        <f>IF(COUNTIF(Diploma!$E$20:$E$83,DQ26)&gt;=1,"",ROW())</f>
        <v>26</v>
      </c>
      <c r="DS26" t="str">
        <f t="shared" si="24"/>
        <v>Physical Theatre Performance</v>
      </c>
    </row>
    <row r="27" spans="1:123" x14ac:dyDescent="0.25">
      <c r="E27" t="s">
        <v>138</v>
      </c>
      <c r="F27">
        <f>IF(COUNTIF(Diploma!$E$20:$E$83,E27)&gt;=1,"",ROW())</f>
        <v>27</v>
      </c>
      <c r="G27" t="str">
        <f t="shared" si="2"/>
        <v>Designing for Print and Screen</v>
      </c>
      <c r="AG27" t="s">
        <v>183</v>
      </c>
      <c r="AH27">
        <f>IF(COUNTIF(Diploma!$E$20:$E$83,AG27)&gt;=1,"",ROW())</f>
        <v>27</v>
      </c>
      <c r="AI27" t="str">
        <f t="shared" si="9"/>
        <v>Sustainability in the Business Workplace</v>
      </c>
      <c r="DQ27" t="s">
        <v>420</v>
      </c>
      <c r="DR27">
        <f>IF(COUNTIF(Diploma!$E$20:$E$83,DQ27)&gt;=1,"",ROW())</f>
        <v>27</v>
      </c>
      <c r="DS27" t="str">
        <f t="shared" si="24"/>
        <v>Variety Performance</v>
      </c>
    </row>
    <row r="28" spans="1:123" x14ac:dyDescent="0.25">
      <c r="E28" t="s">
        <v>139</v>
      </c>
      <c r="F28">
        <f>IF(COUNTIF(Diploma!$E$20:$E$83,E28)&gt;=1,"",ROW())</f>
        <v>28</v>
      </c>
      <c r="G28" t="str">
        <f t="shared" si="2"/>
        <v>Editing Photographic Images</v>
      </c>
      <c r="DQ28" t="s">
        <v>421</v>
      </c>
      <c r="DR28">
        <f>IF(COUNTIF(Diploma!$E$20:$E$83,DQ28)&gt;=1,"",ROW())</f>
        <v>28</v>
      </c>
      <c r="DS28" t="str">
        <f t="shared" si="24"/>
        <v>Use of ICT in the Performing Arts</v>
      </c>
    </row>
    <row r="29" spans="1:123" x14ac:dyDescent="0.25">
      <c r="E29" t="s">
        <v>140</v>
      </c>
      <c r="F29">
        <f>IF(COUNTIF(Diploma!$E$20:$E$83,E29)&gt;=1,"",ROW())</f>
        <v>29</v>
      </c>
      <c r="G29" t="str">
        <f t="shared" si="2"/>
        <v>Fashion Retail</v>
      </c>
      <c r="DQ29" t="s">
        <v>422</v>
      </c>
      <c r="DR29">
        <f>IF(COUNTIF(Diploma!$E$20:$E$83,DQ29)&gt;=1,"",ROW())</f>
        <v>29</v>
      </c>
      <c r="DS29" t="str">
        <f t="shared" si="24"/>
        <v>Work Experience in the Performing Arts</v>
      </c>
    </row>
    <row r="30" spans="1:123" x14ac:dyDescent="0.25">
      <c r="E30" t="s">
        <v>141</v>
      </c>
      <c r="F30">
        <f>IF(COUNTIF(Diploma!$E$20:$E$83,E30)&gt;=1,"",ROW())</f>
        <v>30</v>
      </c>
      <c r="G30" t="str">
        <f t="shared" si="2"/>
        <v>Surface Design</v>
      </c>
      <c r="DQ30" t="s">
        <v>423</v>
      </c>
      <c r="DR30">
        <f>IF(COUNTIF(Diploma!$E$20:$E$83,DQ30)&gt;=1,"",ROW())</f>
        <v>30</v>
      </c>
      <c r="DS30" t="str">
        <f t="shared" si="24"/>
        <v>Singing Skills in the Performing Arts</v>
      </c>
    </row>
    <row r="31" spans="1:123" x14ac:dyDescent="0.25">
      <c r="E31" t="s">
        <v>142</v>
      </c>
      <c r="F31">
        <f>IF(COUNTIF(Diploma!$E$20:$E$83,E31)&gt;=1,"",ROW())</f>
        <v>31</v>
      </c>
      <c r="G31" t="str">
        <f t="shared" si="2"/>
        <v>Sustainability in Art and Design Practice</v>
      </c>
    </row>
    <row r="32" spans="1:123" x14ac:dyDescent="0.25">
      <c r="E32" t="s">
        <v>143</v>
      </c>
      <c r="F32">
        <f>IF(COUNTIF(Diploma!$E$20:$E$83,E32)&gt;=1,"",ROW())</f>
        <v>32</v>
      </c>
      <c r="G32" t="str">
        <f t="shared" si="2"/>
        <v>Advertising Briefs</v>
      </c>
    </row>
    <row r="33" spans="5:96" x14ac:dyDescent="0.25">
      <c r="E33" t="s">
        <v>144</v>
      </c>
      <c r="F33">
        <f>IF(COUNTIF(Diploma!$E$20:$E$83,E33)&gt;=1,"",ROW())</f>
        <v>33</v>
      </c>
      <c r="G33" t="str">
        <f t="shared" si="2"/>
        <v>Modelmaking</v>
      </c>
    </row>
    <row r="34" spans="5:96" x14ac:dyDescent="0.25">
      <c r="E34" t="s">
        <v>145</v>
      </c>
      <c r="F34">
        <f>IF(OR(COUNTIF(Diploma!$E$20:$E$83,E34)&gt;=1,COUNTIF(Diploma!$E$20:$E$83,E3)&gt;=1),"",ROW())</f>
        <v>34</v>
      </c>
      <c r="G34" t="str">
        <f t="shared" si="2"/>
        <v>Sculpture</v>
      </c>
    </row>
    <row r="39" spans="5:96" x14ac:dyDescent="0.25">
      <c r="AK39" t="s">
        <v>502</v>
      </c>
      <c r="AL39" t="s">
        <v>503</v>
      </c>
      <c r="AM39" t="s">
        <v>504</v>
      </c>
      <c r="CO39" t="s">
        <v>502</v>
      </c>
      <c r="CQ39" t="s">
        <v>513</v>
      </c>
      <c r="CR39" t="s">
        <v>504</v>
      </c>
    </row>
    <row r="40" spans="5:96" x14ac:dyDescent="0.25">
      <c r="AK40">
        <f>COUNTIF(Diploma!$E$20:$E$25, "Exploring Carpentry and Joinery Principles and Techniques")</f>
        <v>0</v>
      </c>
      <c r="AL40">
        <f>COUNTIF(Diploma!$E$20:$E$25, "Carpentry and Joinery Operations")</f>
        <v>0</v>
      </c>
      <c r="AM40" s="9">
        <f>IF(AND(AK40=0,AL40=1),1,0)</f>
        <v>0</v>
      </c>
      <c r="CO40">
        <f>COUNTIF(Diploma!$E$20:$E$27, "Planning, Preparing, Cooking and Finishing Food")</f>
        <v>0</v>
      </c>
      <c r="CQ40">
        <f>COUNTIF(Diploma!$E$20:$E$27, "Contemporary World Food Cooking Skills")</f>
        <v>0</v>
      </c>
      <c r="CR40" s="9">
        <f>IF(AND(CO40=0,CQ40=1),1,0)</f>
        <v>0</v>
      </c>
    </row>
    <row r="41" spans="5:96" x14ac:dyDescent="0.25">
      <c r="AK41" t="s">
        <v>505</v>
      </c>
      <c r="AL41" t="s">
        <v>506</v>
      </c>
      <c r="CO41" t="s">
        <v>514</v>
      </c>
      <c r="CQ41" t="s">
        <v>503</v>
      </c>
      <c r="CR41" t="s">
        <v>504</v>
      </c>
    </row>
    <row r="42" spans="5:96" x14ac:dyDescent="0.25">
      <c r="AK42">
        <f>COUNTIF(Diploma!$E$20:$E$25, "Exploring Brickwork and Blockwork Principles and Techniques")</f>
        <v>0</v>
      </c>
      <c r="AL42">
        <f>COUNTIF(Diploma!$E$20:$E$25, "Brickwork and Blockwork Operations")</f>
        <v>0</v>
      </c>
      <c r="AM42" s="9">
        <f>IF(AND(AK42=0,AL42=1),1,0)</f>
        <v>0</v>
      </c>
      <c r="CO42">
        <f>COUNTIF(Diploma!$E$20:$E$27, "Costing and Controlling Finances in the Hospitality Industry")</f>
        <v>0</v>
      </c>
      <c r="CQ42">
        <f>COUNTIF(Diploma!$E$20:$E$27, "Managing Finance in Hospitality")</f>
        <v>0</v>
      </c>
      <c r="CR42" s="9">
        <f>IF(AND(CO42=0,CQ42=1),1,0)</f>
        <v>0</v>
      </c>
    </row>
    <row r="43" spans="5:96" x14ac:dyDescent="0.25">
      <c r="AK43" t="s">
        <v>507</v>
      </c>
      <c r="AL43" t="s">
        <v>508</v>
      </c>
    </row>
    <row r="44" spans="5:96" x14ac:dyDescent="0.25">
      <c r="AK44">
        <f>COUNTIF(Diploma!$E$20:$E$25, "Exploring Painting and Decorating Principles and Techniques")</f>
        <v>0</v>
      </c>
      <c r="AL44">
        <f>COUNTIF(Diploma!$E$20:$E$25, "Painting and Paperhanging Operations")</f>
        <v>0</v>
      </c>
      <c r="AM44" s="9">
        <f>IF(AND(AK44=0,AL44=1),1,0)</f>
        <v>0</v>
      </c>
    </row>
    <row r="45" spans="5:96" x14ac:dyDescent="0.25">
      <c r="AK45" t="s">
        <v>509</v>
      </c>
      <c r="AL45" t="s">
        <v>510</v>
      </c>
    </row>
    <row r="46" spans="5:96" x14ac:dyDescent="0.25">
      <c r="AK46">
        <f>COUNTIF(Diploma!$E$20:$E$25, "Exploring Plumbing Principles and Techniques")</f>
        <v>0</v>
      </c>
      <c r="AL46">
        <f>COUNTIF(Diploma!$E$20:$E$25, "Plumbing Operations")</f>
        <v>0</v>
      </c>
      <c r="AM46" s="9">
        <f>IF(AND(AK46=0,AL46=1),1,0)</f>
        <v>0</v>
      </c>
    </row>
    <row r="47" spans="5:96" x14ac:dyDescent="0.25">
      <c r="AK47" t="s">
        <v>511</v>
      </c>
      <c r="AL47" t="s">
        <v>512</v>
      </c>
    </row>
    <row r="48" spans="5:96" x14ac:dyDescent="0.25">
      <c r="AK48">
        <f>COUNTIF(Diploma!$E$20:$E$25, "Exploring Electrical Principles and Techniques")</f>
        <v>0</v>
      </c>
      <c r="AL48">
        <f>COUNTIF(Diploma!$E$20:$E$25, "Electrical Operations")</f>
        <v>0</v>
      </c>
      <c r="AM48" s="9">
        <f>IF(AND(AK48=0,AL48=1),1,0)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373"/>
  <sheetViews>
    <sheetView topLeftCell="A335" workbookViewId="0">
      <selection activeCell="AH1" sqref="AH1:AH1048576"/>
    </sheetView>
  </sheetViews>
  <sheetFormatPr defaultRowHeight="15" x14ac:dyDescent="0.25"/>
  <cols>
    <col min="1" max="1" width="36.7109375" bestFit="1" customWidth="1"/>
    <col min="3" max="3" width="49.7109375" bestFit="1" customWidth="1"/>
    <col min="8" max="8" width="28.85546875" customWidth="1"/>
    <col min="15" max="15" width="20.42578125" customWidth="1"/>
  </cols>
  <sheetData>
    <row r="1" spans="1:19" x14ac:dyDescent="0.25">
      <c r="A1" t="s">
        <v>8</v>
      </c>
      <c r="H1" t="s">
        <v>23</v>
      </c>
      <c r="O1" t="s">
        <v>246</v>
      </c>
    </row>
    <row r="2" spans="1:19" x14ac:dyDescent="0.25">
      <c r="A2" t="s">
        <v>9</v>
      </c>
      <c r="B2" t="s">
        <v>10</v>
      </c>
      <c r="C2" t="s">
        <v>7</v>
      </c>
      <c r="D2" t="s">
        <v>0</v>
      </c>
      <c r="E2" t="s">
        <v>11</v>
      </c>
      <c r="H2" t="s">
        <v>9</v>
      </c>
      <c r="I2" t="s">
        <v>6</v>
      </c>
      <c r="J2" t="s">
        <v>7</v>
      </c>
      <c r="K2" t="s">
        <v>0</v>
      </c>
      <c r="L2" t="s">
        <v>11</v>
      </c>
      <c r="O2" t="s">
        <v>9</v>
      </c>
      <c r="P2" t="s">
        <v>6</v>
      </c>
      <c r="Q2" t="s">
        <v>7</v>
      </c>
      <c r="R2" t="s">
        <v>0</v>
      </c>
      <c r="S2" t="s">
        <v>11</v>
      </c>
    </row>
    <row r="3" spans="1:19" x14ac:dyDescent="0.25">
      <c r="A3" t="s">
        <v>12</v>
      </c>
      <c r="B3">
        <v>1</v>
      </c>
      <c r="C3" t="s">
        <v>13</v>
      </c>
      <c r="D3">
        <v>30</v>
      </c>
      <c r="E3" t="s">
        <v>21</v>
      </c>
      <c r="G3" t="s">
        <v>24</v>
      </c>
      <c r="H3" t="s">
        <v>12</v>
      </c>
      <c r="I3">
        <v>9</v>
      </c>
      <c r="J3" t="s">
        <v>24</v>
      </c>
      <c r="K3">
        <v>30</v>
      </c>
      <c r="L3" t="s">
        <v>22</v>
      </c>
      <c r="N3" t="s">
        <v>387</v>
      </c>
      <c r="O3" t="s">
        <v>74</v>
      </c>
      <c r="P3">
        <v>9</v>
      </c>
      <c r="Q3" t="s">
        <v>387</v>
      </c>
      <c r="R3">
        <v>30</v>
      </c>
      <c r="S3" t="s">
        <v>22</v>
      </c>
    </row>
    <row r="4" spans="1:19" x14ac:dyDescent="0.25">
      <c r="A4" t="s">
        <v>12</v>
      </c>
      <c r="B4">
        <v>2</v>
      </c>
      <c r="C4" t="s">
        <v>14</v>
      </c>
      <c r="D4">
        <v>30</v>
      </c>
      <c r="E4" t="s">
        <v>22</v>
      </c>
      <c r="G4" t="s">
        <v>25</v>
      </c>
      <c r="H4" t="s">
        <v>12</v>
      </c>
      <c r="I4">
        <v>10</v>
      </c>
      <c r="J4" t="s">
        <v>25</v>
      </c>
      <c r="K4">
        <v>30</v>
      </c>
      <c r="L4" t="s">
        <v>22</v>
      </c>
      <c r="N4" t="s">
        <v>395</v>
      </c>
      <c r="O4" t="s">
        <v>74</v>
      </c>
      <c r="P4">
        <v>10</v>
      </c>
      <c r="Q4" t="s">
        <v>395</v>
      </c>
      <c r="R4">
        <v>30</v>
      </c>
      <c r="S4" t="s">
        <v>22</v>
      </c>
    </row>
    <row r="5" spans="1:19" x14ac:dyDescent="0.25">
      <c r="A5" t="s">
        <v>12</v>
      </c>
      <c r="B5">
        <v>3</v>
      </c>
      <c r="C5" t="s">
        <v>15</v>
      </c>
      <c r="D5">
        <v>30</v>
      </c>
      <c r="E5" t="s">
        <v>22</v>
      </c>
      <c r="G5" t="s">
        <v>26</v>
      </c>
      <c r="H5" t="s">
        <v>12</v>
      </c>
      <c r="I5">
        <v>11</v>
      </c>
      <c r="J5" t="s">
        <v>26</v>
      </c>
      <c r="K5">
        <v>30</v>
      </c>
      <c r="L5" t="s">
        <v>22</v>
      </c>
      <c r="N5" t="s">
        <v>396</v>
      </c>
      <c r="O5" t="s">
        <v>74</v>
      </c>
      <c r="P5">
        <v>11</v>
      </c>
      <c r="Q5" t="s">
        <v>396</v>
      </c>
      <c r="R5">
        <v>30</v>
      </c>
      <c r="S5" t="s">
        <v>22</v>
      </c>
    </row>
    <row r="6" spans="1:19" x14ac:dyDescent="0.25">
      <c r="A6" t="s">
        <v>12</v>
      </c>
      <c r="B6">
        <v>4</v>
      </c>
      <c r="C6" t="s">
        <v>16</v>
      </c>
      <c r="D6">
        <v>30</v>
      </c>
      <c r="E6" t="s">
        <v>22</v>
      </c>
      <c r="G6" t="s">
        <v>27</v>
      </c>
      <c r="H6" t="s">
        <v>12</v>
      </c>
      <c r="I6">
        <v>12</v>
      </c>
      <c r="J6" t="s">
        <v>27</v>
      </c>
      <c r="K6">
        <v>30</v>
      </c>
      <c r="L6" t="s">
        <v>22</v>
      </c>
      <c r="N6" t="s">
        <v>397</v>
      </c>
      <c r="O6" t="s">
        <v>74</v>
      </c>
      <c r="P6">
        <v>12</v>
      </c>
      <c r="Q6" t="s">
        <v>397</v>
      </c>
      <c r="R6">
        <v>30</v>
      </c>
      <c r="S6" t="s">
        <v>22</v>
      </c>
    </row>
    <row r="7" spans="1:19" x14ac:dyDescent="0.25">
      <c r="A7" t="s">
        <v>12</v>
      </c>
      <c r="B7">
        <v>5</v>
      </c>
      <c r="C7" t="s">
        <v>17</v>
      </c>
      <c r="D7">
        <v>30</v>
      </c>
      <c r="E7" t="s">
        <v>22</v>
      </c>
      <c r="G7" t="s">
        <v>28</v>
      </c>
      <c r="H7" t="s">
        <v>12</v>
      </c>
      <c r="I7">
        <v>13</v>
      </c>
      <c r="J7" t="s">
        <v>28</v>
      </c>
      <c r="K7">
        <v>30</v>
      </c>
      <c r="L7" t="s">
        <v>22</v>
      </c>
      <c r="N7" t="s">
        <v>398</v>
      </c>
      <c r="O7" t="s">
        <v>74</v>
      </c>
      <c r="P7">
        <v>13</v>
      </c>
      <c r="Q7" t="s">
        <v>398</v>
      </c>
      <c r="R7">
        <v>30</v>
      </c>
      <c r="S7" t="s">
        <v>22</v>
      </c>
    </row>
    <row r="8" spans="1:19" x14ac:dyDescent="0.25">
      <c r="A8" t="s">
        <v>12</v>
      </c>
      <c r="B8">
        <v>6</v>
      </c>
      <c r="C8" t="s">
        <v>18</v>
      </c>
      <c r="D8">
        <v>30</v>
      </c>
      <c r="E8" t="s">
        <v>22</v>
      </c>
      <c r="G8" t="s">
        <v>29</v>
      </c>
      <c r="H8" t="s">
        <v>12</v>
      </c>
      <c r="I8">
        <v>14</v>
      </c>
      <c r="J8" t="s">
        <v>29</v>
      </c>
      <c r="K8">
        <v>30</v>
      </c>
      <c r="L8" t="s">
        <v>22</v>
      </c>
      <c r="N8" t="s">
        <v>399</v>
      </c>
      <c r="O8" t="s">
        <v>74</v>
      </c>
      <c r="P8">
        <v>14</v>
      </c>
      <c r="Q8" t="s">
        <v>399</v>
      </c>
      <c r="R8">
        <v>30</v>
      </c>
      <c r="S8" t="s">
        <v>22</v>
      </c>
    </row>
    <row r="9" spans="1:19" x14ac:dyDescent="0.25">
      <c r="A9" t="s">
        <v>12</v>
      </c>
      <c r="B9">
        <v>7</v>
      </c>
      <c r="C9" t="s">
        <v>19</v>
      </c>
      <c r="D9">
        <v>30</v>
      </c>
      <c r="E9" t="s">
        <v>22</v>
      </c>
      <c r="G9" t="s">
        <v>30</v>
      </c>
      <c r="H9" t="s">
        <v>12</v>
      </c>
      <c r="I9">
        <v>15</v>
      </c>
      <c r="J9" t="s">
        <v>30</v>
      </c>
      <c r="K9">
        <v>30</v>
      </c>
      <c r="L9" t="s">
        <v>22</v>
      </c>
      <c r="N9" t="s">
        <v>400</v>
      </c>
      <c r="O9" t="s">
        <v>74</v>
      </c>
      <c r="P9">
        <v>15</v>
      </c>
      <c r="Q9" t="s">
        <v>400</v>
      </c>
      <c r="R9">
        <v>30</v>
      </c>
      <c r="S9" t="s">
        <v>22</v>
      </c>
    </row>
    <row r="10" spans="1:19" x14ac:dyDescent="0.25">
      <c r="A10" t="s">
        <v>12</v>
      </c>
      <c r="B10">
        <v>8</v>
      </c>
      <c r="C10" t="s">
        <v>20</v>
      </c>
      <c r="D10">
        <v>30</v>
      </c>
      <c r="E10" t="s">
        <v>21</v>
      </c>
      <c r="G10" t="s">
        <v>31</v>
      </c>
      <c r="H10" t="s">
        <v>12</v>
      </c>
      <c r="I10">
        <v>16</v>
      </c>
      <c r="J10" t="s">
        <v>31</v>
      </c>
      <c r="K10">
        <v>30</v>
      </c>
      <c r="L10" t="s">
        <v>22</v>
      </c>
      <c r="N10" t="s">
        <v>401</v>
      </c>
      <c r="O10" t="s">
        <v>74</v>
      </c>
      <c r="P10">
        <v>16</v>
      </c>
      <c r="Q10" t="s">
        <v>401</v>
      </c>
      <c r="R10">
        <v>30</v>
      </c>
      <c r="S10" t="s">
        <v>22</v>
      </c>
    </row>
    <row r="11" spans="1:19" x14ac:dyDescent="0.25">
      <c r="A11" t="s">
        <v>46</v>
      </c>
      <c r="B11">
        <v>1</v>
      </c>
      <c r="C11" t="s">
        <v>106</v>
      </c>
      <c r="D11">
        <v>30</v>
      </c>
      <c r="E11" t="s">
        <v>22</v>
      </c>
      <c r="G11" t="s">
        <v>32</v>
      </c>
      <c r="H11" t="s">
        <v>12</v>
      </c>
      <c r="I11">
        <v>17</v>
      </c>
      <c r="J11" t="s">
        <v>32</v>
      </c>
      <c r="K11">
        <v>30</v>
      </c>
      <c r="L11" t="s">
        <v>22</v>
      </c>
      <c r="N11" t="s">
        <v>402</v>
      </c>
      <c r="O11" t="s">
        <v>74</v>
      </c>
      <c r="P11">
        <v>17</v>
      </c>
      <c r="Q11" t="s">
        <v>402</v>
      </c>
      <c r="R11">
        <v>30</v>
      </c>
      <c r="S11" t="s">
        <v>22</v>
      </c>
    </row>
    <row r="12" spans="1:19" x14ac:dyDescent="0.25">
      <c r="A12" t="s">
        <v>46</v>
      </c>
      <c r="B12">
        <v>2</v>
      </c>
      <c r="C12" t="s">
        <v>107</v>
      </c>
      <c r="D12">
        <v>30</v>
      </c>
      <c r="E12" t="s">
        <v>21</v>
      </c>
      <c r="G12" t="s">
        <v>33</v>
      </c>
      <c r="H12" t="s">
        <v>12</v>
      </c>
      <c r="I12">
        <v>18</v>
      </c>
      <c r="J12" t="s">
        <v>33</v>
      </c>
      <c r="K12">
        <v>30</v>
      </c>
      <c r="L12" t="s">
        <v>22</v>
      </c>
      <c r="N12" t="s">
        <v>403</v>
      </c>
      <c r="O12" t="s">
        <v>74</v>
      </c>
      <c r="P12">
        <v>18</v>
      </c>
      <c r="Q12" t="s">
        <v>403</v>
      </c>
      <c r="R12">
        <v>30</v>
      </c>
      <c r="S12" t="s">
        <v>22</v>
      </c>
    </row>
    <row r="13" spans="1:19" x14ac:dyDescent="0.25">
      <c r="A13" t="s">
        <v>46</v>
      </c>
      <c r="B13">
        <v>6</v>
      </c>
      <c r="C13" t="s">
        <v>109</v>
      </c>
      <c r="D13">
        <v>30</v>
      </c>
      <c r="E13" t="s">
        <v>22</v>
      </c>
      <c r="G13" t="s">
        <v>34</v>
      </c>
      <c r="H13" t="s">
        <v>12</v>
      </c>
      <c r="I13">
        <v>19</v>
      </c>
      <c r="J13" t="s">
        <v>34</v>
      </c>
      <c r="K13">
        <v>30</v>
      </c>
      <c r="L13" t="s">
        <v>22</v>
      </c>
      <c r="N13" t="s">
        <v>404</v>
      </c>
      <c r="O13" t="s">
        <v>74</v>
      </c>
      <c r="P13">
        <v>19</v>
      </c>
      <c r="Q13" t="s">
        <v>404</v>
      </c>
      <c r="R13">
        <v>30</v>
      </c>
      <c r="S13" t="s">
        <v>22</v>
      </c>
    </row>
    <row r="14" spans="1:19" x14ac:dyDescent="0.25">
      <c r="A14" t="s">
        <v>46</v>
      </c>
      <c r="B14">
        <v>7</v>
      </c>
      <c r="C14" t="s">
        <v>110</v>
      </c>
      <c r="D14">
        <v>30</v>
      </c>
      <c r="E14" t="s">
        <v>21</v>
      </c>
      <c r="G14" t="s">
        <v>35</v>
      </c>
      <c r="H14" t="s">
        <v>12</v>
      </c>
      <c r="I14">
        <v>20</v>
      </c>
      <c r="J14" t="s">
        <v>35</v>
      </c>
      <c r="K14">
        <v>30</v>
      </c>
      <c r="L14" t="s">
        <v>22</v>
      </c>
      <c r="N14" t="s">
        <v>405</v>
      </c>
      <c r="O14" t="s">
        <v>74</v>
      </c>
      <c r="P14">
        <v>20</v>
      </c>
      <c r="Q14" t="s">
        <v>405</v>
      </c>
      <c r="R14">
        <v>30</v>
      </c>
      <c r="S14" t="s">
        <v>22</v>
      </c>
    </row>
    <row r="15" spans="1:19" x14ac:dyDescent="0.25">
      <c r="A15" t="s">
        <v>47</v>
      </c>
      <c r="B15">
        <v>1</v>
      </c>
      <c r="C15" t="s">
        <v>106</v>
      </c>
      <c r="D15">
        <v>30</v>
      </c>
      <c r="E15" t="s">
        <v>22</v>
      </c>
      <c r="G15" t="s">
        <v>36</v>
      </c>
      <c r="H15" t="s">
        <v>12</v>
      </c>
      <c r="I15">
        <v>21</v>
      </c>
      <c r="J15" t="s">
        <v>36</v>
      </c>
      <c r="K15">
        <v>30</v>
      </c>
      <c r="L15" t="s">
        <v>22</v>
      </c>
      <c r="N15" t="s">
        <v>406</v>
      </c>
      <c r="O15" t="s">
        <v>74</v>
      </c>
      <c r="P15">
        <v>21</v>
      </c>
      <c r="Q15" t="s">
        <v>406</v>
      </c>
      <c r="R15">
        <v>30</v>
      </c>
      <c r="S15" t="s">
        <v>22</v>
      </c>
    </row>
    <row r="16" spans="1:19" x14ac:dyDescent="0.25">
      <c r="A16" t="s">
        <v>47</v>
      </c>
      <c r="B16">
        <v>2</v>
      </c>
      <c r="C16" t="s">
        <v>107</v>
      </c>
      <c r="D16">
        <v>30</v>
      </c>
      <c r="E16" t="s">
        <v>21</v>
      </c>
      <c r="G16" t="s">
        <v>37</v>
      </c>
      <c r="H16" t="s">
        <v>12</v>
      </c>
      <c r="I16">
        <v>22</v>
      </c>
      <c r="J16" t="s">
        <v>37</v>
      </c>
      <c r="K16">
        <v>30</v>
      </c>
      <c r="L16" t="s">
        <v>22</v>
      </c>
      <c r="N16" t="s">
        <v>407</v>
      </c>
      <c r="O16" t="s">
        <v>74</v>
      </c>
      <c r="P16">
        <v>22</v>
      </c>
      <c r="Q16" t="s">
        <v>407</v>
      </c>
      <c r="R16">
        <v>30</v>
      </c>
      <c r="S16" t="s">
        <v>22</v>
      </c>
    </row>
    <row r="17" spans="1:19" x14ac:dyDescent="0.25">
      <c r="A17" t="s">
        <v>47</v>
      </c>
      <c r="B17">
        <v>6</v>
      </c>
      <c r="C17" t="s">
        <v>109</v>
      </c>
      <c r="D17">
        <v>30</v>
      </c>
      <c r="E17" t="s">
        <v>22</v>
      </c>
      <c r="G17" t="s">
        <v>38</v>
      </c>
      <c r="H17" t="s">
        <v>12</v>
      </c>
      <c r="I17">
        <v>23</v>
      </c>
      <c r="J17" t="s">
        <v>38</v>
      </c>
      <c r="K17">
        <v>30</v>
      </c>
      <c r="L17" t="s">
        <v>22</v>
      </c>
      <c r="N17" t="s">
        <v>408</v>
      </c>
      <c r="O17" t="s">
        <v>74</v>
      </c>
      <c r="P17">
        <v>23</v>
      </c>
      <c r="Q17" t="s">
        <v>408</v>
      </c>
      <c r="R17">
        <v>30</v>
      </c>
      <c r="S17" t="s">
        <v>22</v>
      </c>
    </row>
    <row r="18" spans="1:19" x14ac:dyDescent="0.25">
      <c r="A18" t="s">
        <v>47</v>
      </c>
      <c r="B18">
        <v>7</v>
      </c>
      <c r="C18" t="s">
        <v>110</v>
      </c>
      <c r="D18">
        <v>30</v>
      </c>
      <c r="E18" t="s">
        <v>21</v>
      </c>
      <c r="G18" t="s">
        <v>39</v>
      </c>
      <c r="H18" t="s">
        <v>12</v>
      </c>
      <c r="I18">
        <v>24</v>
      </c>
      <c r="J18" t="s">
        <v>39</v>
      </c>
      <c r="K18">
        <v>30</v>
      </c>
      <c r="L18" t="s">
        <v>22</v>
      </c>
      <c r="N18" t="s">
        <v>409</v>
      </c>
      <c r="O18" t="s">
        <v>74</v>
      </c>
      <c r="P18">
        <v>24</v>
      </c>
      <c r="Q18" t="s">
        <v>409</v>
      </c>
      <c r="R18">
        <v>30</v>
      </c>
      <c r="S18" t="s">
        <v>22</v>
      </c>
    </row>
    <row r="19" spans="1:19" x14ac:dyDescent="0.25">
      <c r="A19" t="s">
        <v>47</v>
      </c>
      <c r="B19">
        <v>9</v>
      </c>
      <c r="C19" t="s">
        <v>116</v>
      </c>
      <c r="D19">
        <v>60</v>
      </c>
      <c r="E19" t="s">
        <v>22</v>
      </c>
      <c r="G19" t="s">
        <v>113</v>
      </c>
      <c r="H19" t="s">
        <v>46</v>
      </c>
      <c r="I19">
        <v>3</v>
      </c>
      <c r="J19" t="s">
        <v>113</v>
      </c>
      <c r="K19">
        <v>30</v>
      </c>
      <c r="L19" t="s">
        <v>22</v>
      </c>
      <c r="N19" t="s">
        <v>410</v>
      </c>
      <c r="O19" t="s">
        <v>74</v>
      </c>
      <c r="P19">
        <v>25</v>
      </c>
      <c r="Q19" t="s">
        <v>410</v>
      </c>
      <c r="R19">
        <v>30</v>
      </c>
      <c r="S19" t="s">
        <v>22</v>
      </c>
    </row>
    <row r="20" spans="1:19" x14ac:dyDescent="0.25">
      <c r="A20" t="s">
        <v>47</v>
      </c>
      <c r="B20">
        <v>18</v>
      </c>
      <c r="C20" t="s">
        <v>124</v>
      </c>
      <c r="D20">
        <v>60</v>
      </c>
      <c r="E20" t="s">
        <v>22</v>
      </c>
      <c r="G20" t="s">
        <v>114</v>
      </c>
      <c r="H20" t="s">
        <v>46</v>
      </c>
      <c r="I20">
        <v>4</v>
      </c>
      <c r="J20" t="s">
        <v>114</v>
      </c>
      <c r="K20">
        <v>30</v>
      </c>
      <c r="L20" t="s">
        <v>22</v>
      </c>
      <c r="N20" t="s">
        <v>411</v>
      </c>
      <c r="O20" t="s">
        <v>74</v>
      </c>
      <c r="P20">
        <v>26</v>
      </c>
      <c r="Q20" t="s">
        <v>411</v>
      </c>
      <c r="R20">
        <v>30</v>
      </c>
      <c r="S20" t="s">
        <v>22</v>
      </c>
    </row>
    <row r="21" spans="1:19" x14ac:dyDescent="0.25">
      <c r="A21" t="s">
        <v>48</v>
      </c>
      <c r="B21">
        <v>1</v>
      </c>
      <c r="C21" t="s">
        <v>106</v>
      </c>
      <c r="D21">
        <v>30</v>
      </c>
      <c r="E21" t="s">
        <v>22</v>
      </c>
      <c r="G21" t="s">
        <v>108</v>
      </c>
      <c r="H21" t="s">
        <v>46</v>
      </c>
      <c r="I21">
        <v>5</v>
      </c>
      <c r="J21" t="s">
        <v>108</v>
      </c>
      <c r="K21">
        <v>30</v>
      </c>
      <c r="L21" t="s">
        <v>22</v>
      </c>
      <c r="N21" t="s">
        <v>412</v>
      </c>
      <c r="O21" t="s">
        <v>74</v>
      </c>
      <c r="P21">
        <v>27</v>
      </c>
      <c r="Q21" t="s">
        <v>412</v>
      </c>
      <c r="R21">
        <v>30</v>
      </c>
      <c r="S21" t="s">
        <v>22</v>
      </c>
    </row>
    <row r="22" spans="1:19" x14ac:dyDescent="0.25">
      <c r="A22" t="s">
        <v>48</v>
      </c>
      <c r="B22">
        <v>2</v>
      </c>
      <c r="C22" t="s">
        <v>107</v>
      </c>
      <c r="D22">
        <v>30</v>
      </c>
      <c r="E22" t="s">
        <v>21</v>
      </c>
      <c r="G22" t="s">
        <v>115</v>
      </c>
      <c r="H22" t="s">
        <v>46</v>
      </c>
      <c r="I22">
        <v>8</v>
      </c>
      <c r="J22" t="s">
        <v>115</v>
      </c>
      <c r="K22">
        <v>30</v>
      </c>
      <c r="L22" t="s">
        <v>22</v>
      </c>
      <c r="N22" t="s">
        <v>413</v>
      </c>
      <c r="O22" t="s">
        <v>74</v>
      </c>
      <c r="P22">
        <v>28</v>
      </c>
      <c r="Q22" t="s">
        <v>413</v>
      </c>
      <c r="R22">
        <v>30</v>
      </c>
      <c r="S22" t="s">
        <v>22</v>
      </c>
    </row>
    <row r="23" spans="1:19" x14ac:dyDescent="0.25">
      <c r="A23" t="s">
        <v>48</v>
      </c>
      <c r="B23">
        <v>6</v>
      </c>
      <c r="C23" t="s">
        <v>109</v>
      </c>
      <c r="D23">
        <v>30</v>
      </c>
      <c r="E23" t="s">
        <v>22</v>
      </c>
      <c r="G23" t="s">
        <v>116</v>
      </c>
      <c r="H23" t="s">
        <v>46</v>
      </c>
      <c r="I23">
        <v>9</v>
      </c>
      <c r="J23" t="s">
        <v>116</v>
      </c>
      <c r="K23">
        <v>60</v>
      </c>
      <c r="L23" t="s">
        <v>22</v>
      </c>
      <c r="N23" t="s">
        <v>414</v>
      </c>
      <c r="O23" t="s">
        <v>74</v>
      </c>
      <c r="P23">
        <v>29</v>
      </c>
      <c r="Q23" t="s">
        <v>414</v>
      </c>
      <c r="R23">
        <v>30</v>
      </c>
      <c r="S23" t="s">
        <v>22</v>
      </c>
    </row>
    <row r="24" spans="1:19" x14ac:dyDescent="0.25">
      <c r="A24" t="s">
        <v>48</v>
      </c>
      <c r="B24">
        <v>7</v>
      </c>
      <c r="C24" t="s">
        <v>110</v>
      </c>
      <c r="D24">
        <v>30</v>
      </c>
      <c r="E24" t="s">
        <v>21</v>
      </c>
      <c r="G24" t="s">
        <v>117</v>
      </c>
      <c r="H24" t="s">
        <v>46</v>
      </c>
      <c r="I24">
        <v>10</v>
      </c>
      <c r="J24" t="s">
        <v>117</v>
      </c>
      <c r="K24">
        <v>60</v>
      </c>
      <c r="L24" t="s">
        <v>22</v>
      </c>
      <c r="N24" t="s">
        <v>415</v>
      </c>
      <c r="O24" t="s">
        <v>74</v>
      </c>
      <c r="P24">
        <v>30</v>
      </c>
      <c r="Q24" t="s">
        <v>415</v>
      </c>
      <c r="R24">
        <v>60</v>
      </c>
      <c r="S24" t="s">
        <v>22</v>
      </c>
    </row>
    <row r="25" spans="1:19" x14ac:dyDescent="0.25">
      <c r="A25" t="s">
        <v>48</v>
      </c>
      <c r="B25">
        <v>10</v>
      </c>
      <c r="C25" t="s">
        <v>117</v>
      </c>
      <c r="D25">
        <v>60</v>
      </c>
      <c r="E25" t="s">
        <v>22</v>
      </c>
      <c r="G25" t="s">
        <v>118</v>
      </c>
      <c r="H25" t="s">
        <v>46</v>
      </c>
      <c r="I25">
        <v>11</v>
      </c>
      <c r="J25" t="s">
        <v>118</v>
      </c>
      <c r="K25">
        <v>60</v>
      </c>
      <c r="L25" t="s">
        <v>22</v>
      </c>
      <c r="N25" t="s">
        <v>388</v>
      </c>
      <c r="O25" t="s">
        <v>74</v>
      </c>
      <c r="P25">
        <v>31</v>
      </c>
      <c r="Q25" t="s">
        <v>388</v>
      </c>
      <c r="R25">
        <v>60</v>
      </c>
      <c r="S25" t="s">
        <v>22</v>
      </c>
    </row>
    <row r="26" spans="1:19" x14ac:dyDescent="0.25">
      <c r="A26" t="s">
        <v>48</v>
      </c>
      <c r="B26">
        <v>12</v>
      </c>
      <c r="C26" t="s">
        <v>119</v>
      </c>
      <c r="D26">
        <v>60</v>
      </c>
      <c r="E26" t="s">
        <v>22</v>
      </c>
      <c r="G26" t="s">
        <v>119</v>
      </c>
      <c r="H26" t="s">
        <v>46</v>
      </c>
      <c r="I26">
        <v>12</v>
      </c>
      <c r="J26" t="s">
        <v>119</v>
      </c>
      <c r="K26">
        <v>60</v>
      </c>
      <c r="L26" t="s">
        <v>22</v>
      </c>
      <c r="N26" t="s">
        <v>416</v>
      </c>
      <c r="O26" t="s">
        <v>74</v>
      </c>
      <c r="P26">
        <v>32</v>
      </c>
      <c r="Q26" t="s">
        <v>416</v>
      </c>
      <c r="R26">
        <v>60</v>
      </c>
      <c r="S26" t="s">
        <v>22</v>
      </c>
    </row>
    <row r="27" spans="1:19" x14ac:dyDescent="0.25">
      <c r="A27" t="s">
        <v>49</v>
      </c>
      <c r="B27">
        <v>1</v>
      </c>
      <c r="C27" t="s">
        <v>106</v>
      </c>
      <c r="D27">
        <v>30</v>
      </c>
      <c r="E27" t="s">
        <v>22</v>
      </c>
      <c r="G27" t="s">
        <v>120</v>
      </c>
      <c r="H27" t="s">
        <v>46</v>
      </c>
      <c r="I27">
        <v>13</v>
      </c>
      <c r="J27" t="s">
        <v>120</v>
      </c>
      <c r="K27">
        <v>60</v>
      </c>
      <c r="L27" t="s">
        <v>22</v>
      </c>
      <c r="N27" t="s">
        <v>417</v>
      </c>
      <c r="O27" t="s">
        <v>74</v>
      </c>
      <c r="P27">
        <v>33</v>
      </c>
      <c r="Q27" t="s">
        <v>417</v>
      </c>
      <c r="R27">
        <v>60</v>
      </c>
      <c r="S27" t="s">
        <v>22</v>
      </c>
    </row>
    <row r="28" spans="1:19" x14ac:dyDescent="0.25">
      <c r="A28" t="s">
        <v>49</v>
      </c>
      <c r="B28">
        <v>2</v>
      </c>
      <c r="C28" t="s">
        <v>107</v>
      </c>
      <c r="D28">
        <v>30</v>
      </c>
      <c r="E28" t="s">
        <v>21</v>
      </c>
      <c r="G28" t="s">
        <v>121</v>
      </c>
      <c r="H28" t="s">
        <v>46</v>
      </c>
      <c r="I28">
        <v>14</v>
      </c>
      <c r="J28" t="s">
        <v>121</v>
      </c>
      <c r="K28">
        <v>60</v>
      </c>
      <c r="L28" t="s">
        <v>22</v>
      </c>
      <c r="N28" t="s">
        <v>418</v>
      </c>
      <c r="O28" t="s">
        <v>74</v>
      </c>
      <c r="P28">
        <v>34</v>
      </c>
      <c r="Q28" t="s">
        <v>418</v>
      </c>
      <c r="R28">
        <v>60</v>
      </c>
      <c r="S28" t="s">
        <v>22</v>
      </c>
    </row>
    <row r="29" spans="1:19" x14ac:dyDescent="0.25">
      <c r="A29" t="s">
        <v>49</v>
      </c>
      <c r="B29">
        <v>6</v>
      </c>
      <c r="C29" t="s">
        <v>109</v>
      </c>
      <c r="D29">
        <v>30</v>
      </c>
      <c r="E29" t="s">
        <v>22</v>
      </c>
      <c r="G29" t="s">
        <v>122</v>
      </c>
      <c r="H29" t="s">
        <v>46</v>
      </c>
      <c r="I29">
        <v>15</v>
      </c>
      <c r="J29" t="s">
        <v>122</v>
      </c>
      <c r="K29">
        <v>60</v>
      </c>
      <c r="L29" t="s">
        <v>22</v>
      </c>
      <c r="N29" t="s">
        <v>419</v>
      </c>
      <c r="O29" t="s">
        <v>74</v>
      </c>
      <c r="P29">
        <v>35</v>
      </c>
      <c r="Q29" t="s">
        <v>419</v>
      </c>
      <c r="R29">
        <v>60</v>
      </c>
      <c r="S29" t="s">
        <v>22</v>
      </c>
    </row>
    <row r="30" spans="1:19" x14ac:dyDescent="0.25">
      <c r="A30" t="s">
        <v>49</v>
      </c>
      <c r="B30">
        <v>7</v>
      </c>
      <c r="C30" t="s">
        <v>110</v>
      </c>
      <c r="D30">
        <v>30</v>
      </c>
      <c r="E30" t="s">
        <v>21</v>
      </c>
      <c r="G30" t="s">
        <v>111</v>
      </c>
      <c r="H30" t="s">
        <v>46</v>
      </c>
      <c r="I30">
        <v>16</v>
      </c>
      <c r="J30" t="s">
        <v>111</v>
      </c>
      <c r="K30">
        <v>30</v>
      </c>
      <c r="L30" t="s">
        <v>22</v>
      </c>
      <c r="N30" t="s">
        <v>420</v>
      </c>
      <c r="O30" t="s">
        <v>74</v>
      </c>
      <c r="P30">
        <v>36</v>
      </c>
      <c r="Q30" t="s">
        <v>420</v>
      </c>
      <c r="R30">
        <v>60</v>
      </c>
      <c r="S30" t="s">
        <v>22</v>
      </c>
    </row>
    <row r="31" spans="1:19" x14ac:dyDescent="0.25">
      <c r="A31" t="s">
        <v>49</v>
      </c>
      <c r="B31">
        <v>14</v>
      </c>
      <c r="C31" t="s">
        <v>121</v>
      </c>
      <c r="D31">
        <v>60</v>
      </c>
      <c r="E31" t="s">
        <v>22</v>
      </c>
      <c r="G31" t="s">
        <v>123</v>
      </c>
      <c r="H31" t="s">
        <v>46</v>
      </c>
      <c r="I31">
        <v>17</v>
      </c>
      <c r="J31" t="s">
        <v>123</v>
      </c>
      <c r="K31">
        <v>30</v>
      </c>
      <c r="L31" t="s">
        <v>22</v>
      </c>
      <c r="N31" t="s">
        <v>389</v>
      </c>
      <c r="O31" t="s">
        <v>74</v>
      </c>
      <c r="P31">
        <v>37</v>
      </c>
      <c r="Q31" t="s">
        <v>389</v>
      </c>
      <c r="R31">
        <v>60</v>
      </c>
      <c r="S31" t="s">
        <v>22</v>
      </c>
    </row>
    <row r="32" spans="1:19" x14ac:dyDescent="0.25">
      <c r="A32" t="s">
        <v>49</v>
      </c>
      <c r="B32">
        <v>19</v>
      </c>
      <c r="C32" t="s">
        <v>125</v>
      </c>
      <c r="D32">
        <v>60</v>
      </c>
      <c r="E32" t="s">
        <v>22</v>
      </c>
      <c r="G32" t="s">
        <v>124</v>
      </c>
      <c r="H32" t="s">
        <v>46</v>
      </c>
      <c r="I32">
        <v>18</v>
      </c>
      <c r="J32" t="s">
        <v>124</v>
      </c>
      <c r="K32">
        <v>60</v>
      </c>
      <c r="L32" t="s">
        <v>22</v>
      </c>
      <c r="N32" t="s">
        <v>421</v>
      </c>
      <c r="O32" t="s">
        <v>74</v>
      </c>
      <c r="P32">
        <v>38</v>
      </c>
      <c r="Q32" t="s">
        <v>421</v>
      </c>
      <c r="R32">
        <v>30</v>
      </c>
      <c r="S32" t="s">
        <v>22</v>
      </c>
    </row>
    <row r="33" spans="1:19" x14ac:dyDescent="0.25">
      <c r="A33" t="s">
        <v>50</v>
      </c>
      <c r="B33">
        <v>1</v>
      </c>
      <c r="C33" t="s">
        <v>106</v>
      </c>
      <c r="D33">
        <v>30</v>
      </c>
      <c r="E33" t="s">
        <v>22</v>
      </c>
      <c r="G33" t="s">
        <v>125</v>
      </c>
      <c r="H33" t="s">
        <v>46</v>
      </c>
      <c r="I33">
        <v>19</v>
      </c>
      <c r="J33" t="s">
        <v>125</v>
      </c>
      <c r="K33">
        <v>60</v>
      </c>
      <c r="L33" t="s">
        <v>22</v>
      </c>
      <c r="N33" t="s">
        <v>422</v>
      </c>
      <c r="O33" t="s">
        <v>74</v>
      </c>
      <c r="P33">
        <v>39</v>
      </c>
      <c r="Q33" t="s">
        <v>422</v>
      </c>
      <c r="R33">
        <v>30</v>
      </c>
      <c r="S33" t="s">
        <v>22</v>
      </c>
    </row>
    <row r="34" spans="1:19" x14ac:dyDescent="0.25">
      <c r="A34" t="s">
        <v>50</v>
      </c>
      <c r="B34">
        <v>2</v>
      </c>
      <c r="C34" t="s">
        <v>107</v>
      </c>
      <c r="D34">
        <v>30</v>
      </c>
      <c r="E34" t="s">
        <v>21</v>
      </c>
      <c r="G34" t="s">
        <v>126</v>
      </c>
      <c r="H34" t="s">
        <v>46</v>
      </c>
      <c r="I34">
        <v>20</v>
      </c>
      <c r="J34" t="s">
        <v>126</v>
      </c>
      <c r="K34">
        <v>60</v>
      </c>
      <c r="L34" t="s">
        <v>22</v>
      </c>
      <c r="N34" t="s">
        <v>423</v>
      </c>
      <c r="O34" t="s">
        <v>74</v>
      </c>
      <c r="P34">
        <v>40</v>
      </c>
      <c r="Q34" t="s">
        <v>423</v>
      </c>
      <c r="R34">
        <v>60</v>
      </c>
      <c r="S34" t="s">
        <v>22</v>
      </c>
    </row>
    <row r="35" spans="1:19" x14ac:dyDescent="0.25">
      <c r="A35" t="s">
        <v>50</v>
      </c>
      <c r="B35">
        <v>6</v>
      </c>
      <c r="C35" t="s">
        <v>109</v>
      </c>
      <c r="D35">
        <v>30</v>
      </c>
      <c r="E35" t="s">
        <v>22</v>
      </c>
      <c r="G35" t="s">
        <v>127</v>
      </c>
      <c r="H35" t="s">
        <v>46</v>
      </c>
      <c r="I35">
        <v>21</v>
      </c>
      <c r="J35" t="s">
        <v>127</v>
      </c>
      <c r="K35">
        <v>60</v>
      </c>
      <c r="L35" t="s">
        <v>22</v>
      </c>
      <c r="N35" t="s">
        <v>401</v>
      </c>
      <c r="O35" t="s">
        <v>75</v>
      </c>
      <c r="P35">
        <v>16</v>
      </c>
      <c r="Q35" t="s">
        <v>401</v>
      </c>
      <c r="R35">
        <v>30</v>
      </c>
      <c r="S35" t="s">
        <v>22</v>
      </c>
    </row>
    <row r="36" spans="1:19" x14ac:dyDescent="0.25">
      <c r="A36" t="s">
        <v>50</v>
      </c>
      <c r="B36">
        <v>7</v>
      </c>
      <c r="C36" t="s">
        <v>110</v>
      </c>
      <c r="D36">
        <v>30</v>
      </c>
      <c r="E36" t="s">
        <v>21</v>
      </c>
      <c r="G36" t="s">
        <v>128</v>
      </c>
      <c r="H36" t="s">
        <v>46</v>
      </c>
      <c r="I36">
        <v>22</v>
      </c>
      <c r="J36" t="s">
        <v>128</v>
      </c>
      <c r="K36">
        <v>60</v>
      </c>
      <c r="L36" t="s">
        <v>22</v>
      </c>
      <c r="N36" t="s">
        <v>402</v>
      </c>
      <c r="O36" t="s">
        <v>75</v>
      </c>
      <c r="P36">
        <v>17</v>
      </c>
      <c r="Q36" t="s">
        <v>402</v>
      </c>
      <c r="R36">
        <v>30</v>
      </c>
      <c r="S36" t="s">
        <v>22</v>
      </c>
    </row>
    <row r="37" spans="1:19" x14ac:dyDescent="0.25">
      <c r="A37" t="s">
        <v>50</v>
      </c>
      <c r="B37">
        <v>15</v>
      </c>
      <c r="C37" t="s">
        <v>122</v>
      </c>
      <c r="D37">
        <v>60</v>
      </c>
      <c r="E37" t="s">
        <v>22</v>
      </c>
      <c r="G37" t="s">
        <v>112</v>
      </c>
      <c r="H37" t="s">
        <v>46</v>
      </c>
      <c r="I37">
        <v>23</v>
      </c>
      <c r="J37" t="s">
        <v>112</v>
      </c>
      <c r="K37">
        <v>60</v>
      </c>
      <c r="L37" t="s">
        <v>22</v>
      </c>
      <c r="N37" t="s">
        <v>403</v>
      </c>
      <c r="O37" t="s">
        <v>75</v>
      </c>
      <c r="P37">
        <v>18</v>
      </c>
      <c r="Q37" t="s">
        <v>403</v>
      </c>
      <c r="R37">
        <v>30</v>
      </c>
      <c r="S37" t="s">
        <v>22</v>
      </c>
    </row>
    <row r="38" spans="1:19" x14ac:dyDescent="0.25">
      <c r="A38" t="s">
        <v>50</v>
      </c>
      <c r="B38">
        <v>22</v>
      </c>
      <c r="C38" t="s">
        <v>128</v>
      </c>
      <c r="D38">
        <v>60</v>
      </c>
      <c r="E38" t="s">
        <v>22</v>
      </c>
      <c r="G38" t="s">
        <v>129</v>
      </c>
      <c r="H38" t="s">
        <v>46</v>
      </c>
      <c r="I38">
        <v>24</v>
      </c>
      <c r="J38" t="s">
        <v>129</v>
      </c>
      <c r="K38">
        <v>60</v>
      </c>
      <c r="L38" t="s">
        <v>22</v>
      </c>
      <c r="N38" t="s">
        <v>404</v>
      </c>
      <c r="O38" t="s">
        <v>75</v>
      </c>
      <c r="P38">
        <v>19</v>
      </c>
      <c r="Q38" t="s">
        <v>404</v>
      </c>
      <c r="R38">
        <v>30</v>
      </c>
      <c r="S38" t="s">
        <v>22</v>
      </c>
    </row>
    <row r="39" spans="1:19" x14ac:dyDescent="0.25">
      <c r="A39" t="s">
        <v>51</v>
      </c>
      <c r="B39">
        <v>1</v>
      </c>
      <c r="C39" t="s">
        <v>106</v>
      </c>
      <c r="D39">
        <v>30</v>
      </c>
      <c r="E39" t="s">
        <v>22</v>
      </c>
      <c r="G39" t="s">
        <v>130</v>
      </c>
      <c r="H39" t="s">
        <v>46</v>
      </c>
      <c r="I39">
        <v>25</v>
      </c>
      <c r="J39" t="s">
        <v>130</v>
      </c>
      <c r="K39">
        <v>60</v>
      </c>
      <c r="L39" t="s">
        <v>22</v>
      </c>
      <c r="N39" t="s">
        <v>405</v>
      </c>
      <c r="O39" t="s">
        <v>75</v>
      </c>
      <c r="P39">
        <v>20</v>
      </c>
      <c r="Q39" t="s">
        <v>405</v>
      </c>
      <c r="R39">
        <v>30</v>
      </c>
      <c r="S39" t="s">
        <v>22</v>
      </c>
    </row>
    <row r="40" spans="1:19" x14ac:dyDescent="0.25">
      <c r="A40" t="s">
        <v>51</v>
      </c>
      <c r="B40">
        <v>2</v>
      </c>
      <c r="C40" t="s">
        <v>107</v>
      </c>
      <c r="D40">
        <v>30</v>
      </c>
      <c r="E40" t="s">
        <v>21</v>
      </c>
      <c r="G40" t="s">
        <v>131</v>
      </c>
      <c r="H40" t="s">
        <v>46</v>
      </c>
      <c r="I40">
        <v>26</v>
      </c>
      <c r="J40" t="s">
        <v>131</v>
      </c>
      <c r="K40">
        <v>60</v>
      </c>
      <c r="L40" t="s">
        <v>22</v>
      </c>
      <c r="N40" t="s">
        <v>406</v>
      </c>
      <c r="O40" t="s">
        <v>75</v>
      </c>
      <c r="P40">
        <v>21</v>
      </c>
      <c r="Q40" t="s">
        <v>406</v>
      </c>
      <c r="R40">
        <v>30</v>
      </c>
      <c r="S40" t="s">
        <v>22</v>
      </c>
    </row>
    <row r="41" spans="1:19" x14ac:dyDescent="0.25">
      <c r="A41" t="s">
        <v>51</v>
      </c>
      <c r="B41">
        <v>6</v>
      </c>
      <c r="C41" t="s">
        <v>109</v>
      </c>
      <c r="D41">
        <v>30</v>
      </c>
      <c r="E41" t="s">
        <v>22</v>
      </c>
      <c r="G41" t="s">
        <v>132</v>
      </c>
      <c r="H41" t="s">
        <v>46</v>
      </c>
      <c r="I41">
        <v>27</v>
      </c>
      <c r="J41" t="s">
        <v>132</v>
      </c>
      <c r="K41">
        <v>60</v>
      </c>
      <c r="L41" t="s">
        <v>22</v>
      </c>
      <c r="N41" t="s">
        <v>407</v>
      </c>
      <c r="O41" t="s">
        <v>75</v>
      </c>
      <c r="P41">
        <v>22</v>
      </c>
      <c r="Q41" t="s">
        <v>407</v>
      </c>
      <c r="R41">
        <v>30</v>
      </c>
      <c r="S41" t="s">
        <v>22</v>
      </c>
    </row>
    <row r="42" spans="1:19" x14ac:dyDescent="0.25">
      <c r="A42" t="s">
        <v>51</v>
      </c>
      <c r="B42">
        <v>7</v>
      </c>
      <c r="C42" t="s">
        <v>110</v>
      </c>
      <c r="D42">
        <v>30</v>
      </c>
      <c r="E42" t="s">
        <v>21</v>
      </c>
      <c r="G42" t="s">
        <v>133</v>
      </c>
      <c r="H42" t="s">
        <v>46</v>
      </c>
      <c r="I42">
        <v>28</v>
      </c>
      <c r="J42" t="s">
        <v>133</v>
      </c>
      <c r="K42">
        <v>60</v>
      </c>
      <c r="L42" t="s">
        <v>22</v>
      </c>
      <c r="N42" t="s">
        <v>408</v>
      </c>
      <c r="O42" t="s">
        <v>75</v>
      </c>
      <c r="P42">
        <v>23</v>
      </c>
      <c r="Q42" t="s">
        <v>408</v>
      </c>
      <c r="R42">
        <v>30</v>
      </c>
      <c r="S42" t="s">
        <v>22</v>
      </c>
    </row>
    <row r="43" spans="1:19" x14ac:dyDescent="0.25">
      <c r="A43" t="s">
        <v>51</v>
      </c>
      <c r="B43">
        <v>13</v>
      </c>
      <c r="C43" t="s">
        <v>120</v>
      </c>
      <c r="D43">
        <v>60</v>
      </c>
      <c r="E43" t="s">
        <v>22</v>
      </c>
      <c r="G43" t="s">
        <v>134</v>
      </c>
      <c r="H43" t="s">
        <v>46</v>
      </c>
      <c r="I43">
        <v>29</v>
      </c>
      <c r="J43" t="s">
        <v>134</v>
      </c>
      <c r="K43">
        <v>60</v>
      </c>
      <c r="L43" t="s">
        <v>22</v>
      </c>
      <c r="N43" t="s">
        <v>409</v>
      </c>
      <c r="O43" t="s">
        <v>75</v>
      </c>
      <c r="P43">
        <v>24</v>
      </c>
      <c r="Q43" t="s">
        <v>409</v>
      </c>
      <c r="R43">
        <v>30</v>
      </c>
      <c r="S43" t="s">
        <v>22</v>
      </c>
    </row>
    <row r="44" spans="1:19" x14ac:dyDescent="0.25">
      <c r="A44" t="s">
        <v>51</v>
      </c>
      <c r="B44">
        <v>21</v>
      </c>
      <c r="C44" t="s">
        <v>127</v>
      </c>
      <c r="D44">
        <v>60</v>
      </c>
      <c r="E44" t="s">
        <v>22</v>
      </c>
      <c r="G44" t="s">
        <v>135</v>
      </c>
      <c r="H44" t="s">
        <v>46</v>
      </c>
      <c r="I44">
        <v>30</v>
      </c>
      <c r="J44" t="s">
        <v>135</v>
      </c>
      <c r="K44">
        <v>60</v>
      </c>
      <c r="L44" t="s">
        <v>22</v>
      </c>
      <c r="N44" t="s">
        <v>410</v>
      </c>
      <c r="O44" t="s">
        <v>75</v>
      </c>
      <c r="P44">
        <v>25</v>
      </c>
      <c r="Q44" t="s">
        <v>410</v>
      </c>
      <c r="R44">
        <v>30</v>
      </c>
      <c r="S44" t="s">
        <v>22</v>
      </c>
    </row>
    <row r="45" spans="1:19" x14ac:dyDescent="0.25">
      <c r="A45" t="s">
        <v>52</v>
      </c>
      <c r="B45">
        <v>1</v>
      </c>
      <c r="C45" t="s">
        <v>106</v>
      </c>
      <c r="D45">
        <v>30</v>
      </c>
      <c r="E45" t="s">
        <v>22</v>
      </c>
      <c r="G45" t="s">
        <v>136</v>
      </c>
      <c r="H45" t="s">
        <v>46</v>
      </c>
      <c r="I45">
        <v>31</v>
      </c>
      <c r="J45" t="s">
        <v>136</v>
      </c>
      <c r="K45">
        <v>60</v>
      </c>
      <c r="L45" t="s">
        <v>22</v>
      </c>
      <c r="N45" t="s">
        <v>413</v>
      </c>
      <c r="O45" t="s">
        <v>75</v>
      </c>
      <c r="P45">
        <v>28</v>
      </c>
      <c r="Q45" t="s">
        <v>413</v>
      </c>
      <c r="R45">
        <v>30</v>
      </c>
      <c r="S45" t="s">
        <v>22</v>
      </c>
    </row>
    <row r="46" spans="1:19" x14ac:dyDescent="0.25">
      <c r="A46" t="s">
        <v>52</v>
      </c>
      <c r="B46">
        <v>2</v>
      </c>
      <c r="C46" t="s">
        <v>107</v>
      </c>
      <c r="D46">
        <v>30</v>
      </c>
      <c r="E46" t="s">
        <v>21</v>
      </c>
      <c r="G46" t="s">
        <v>137</v>
      </c>
      <c r="H46" t="s">
        <v>46</v>
      </c>
      <c r="I46">
        <v>32</v>
      </c>
      <c r="J46" t="s">
        <v>137</v>
      </c>
      <c r="K46">
        <v>60</v>
      </c>
      <c r="L46" t="s">
        <v>22</v>
      </c>
      <c r="N46" t="s">
        <v>414</v>
      </c>
      <c r="O46" t="s">
        <v>75</v>
      </c>
      <c r="P46">
        <v>29</v>
      </c>
      <c r="Q46" t="s">
        <v>414</v>
      </c>
      <c r="R46">
        <v>30</v>
      </c>
      <c r="S46" t="s">
        <v>22</v>
      </c>
    </row>
    <row r="47" spans="1:19" x14ac:dyDescent="0.25">
      <c r="A47" t="s">
        <v>52</v>
      </c>
      <c r="B47">
        <v>6</v>
      </c>
      <c r="C47" t="s">
        <v>109</v>
      </c>
      <c r="D47">
        <v>30</v>
      </c>
      <c r="E47" t="s">
        <v>22</v>
      </c>
      <c r="G47" t="s">
        <v>138</v>
      </c>
      <c r="H47" t="s">
        <v>46</v>
      </c>
      <c r="I47">
        <v>33</v>
      </c>
      <c r="J47" t="s">
        <v>138</v>
      </c>
      <c r="K47">
        <v>60</v>
      </c>
      <c r="L47" t="s">
        <v>22</v>
      </c>
      <c r="N47" t="s">
        <v>421</v>
      </c>
      <c r="O47" t="s">
        <v>75</v>
      </c>
      <c r="P47">
        <v>38</v>
      </c>
      <c r="Q47" t="s">
        <v>421</v>
      </c>
      <c r="R47">
        <v>30</v>
      </c>
      <c r="S47" t="s">
        <v>22</v>
      </c>
    </row>
    <row r="48" spans="1:19" x14ac:dyDescent="0.25">
      <c r="A48" t="s">
        <v>52</v>
      </c>
      <c r="B48">
        <v>7</v>
      </c>
      <c r="C48" t="s">
        <v>110</v>
      </c>
      <c r="D48">
        <v>30</v>
      </c>
      <c r="E48" t="s">
        <v>21</v>
      </c>
      <c r="G48" t="s">
        <v>139</v>
      </c>
      <c r="H48" t="s">
        <v>46</v>
      </c>
      <c r="I48">
        <v>34</v>
      </c>
      <c r="J48" t="s">
        <v>139</v>
      </c>
      <c r="K48">
        <v>60</v>
      </c>
      <c r="L48" t="s">
        <v>22</v>
      </c>
      <c r="N48" t="s">
        <v>422</v>
      </c>
      <c r="O48" t="s">
        <v>75</v>
      </c>
      <c r="P48">
        <v>39</v>
      </c>
      <c r="Q48" t="s">
        <v>422</v>
      </c>
      <c r="R48">
        <v>30</v>
      </c>
      <c r="S48" t="s">
        <v>22</v>
      </c>
    </row>
    <row r="49" spans="1:19" x14ac:dyDescent="0.25">
      <c r="A49" t="s">
        <v>52</v>
      </c>
      <c r="B49">
        <v>11</v>
      </c>
      <c r="C49" t="s">
        <v>118</v>
      </c>
      <c r="D49">
        <v>60</v>
      </c>
      <c r="E49" t="s">
        <v>22</v>
      </c>
      <c r="G49" t="s">
        <v>140</v>
      </c>
      <c r="H49" t="s">
        <v>46</v>
      </c>
      <c r="I49">
        <v>35</v>
      </c>
      <c r="J49" t="s">
        <v>140</v>
      </c>
      <c r="K49">
        <v>60</v>
      </c>
      <c r="L49" t="s">
        <v>22</v>
      </c>
      <c r="N49" t="s">
        <v>399</v>
      </c>
      <c r="O49" t="s">
        <v>76</v>
      </c>
      <c r="P49">
        <v>14</v>
      </c>
      <c r="Q49" t="s">
        <v>399</v>
      </c>
      <c r="R49">
        <v>30</v>
      </c>
      <c r="S49" t="s">
        <v>22</v>
      </c>
    </row>
    <row r="50" spans="1:19" x14ac:dyDescent="0.25">
      <c r="A50" t="s">
        <v>52</v>
      </c>
      <c r="B50">
        <v>20</v>
      </c>
      <c r="C50" t="s">
        <v>126</v>
      </c>
      <c r="D50">
        <v>60</v>
      </c>
      <c r="E50" t="s">
        <v>22</v>
      </c>
      <c r="G50" t="s">
        <v>141</v>
      </c>
      <c r="H50" t="s">
        <v>46</v>
      </c>
      <c r="I50">
        <v>36</v>
      </c>
      <c r="J50" t="s">
        <v>141</v>
      </c>
      <c r="K50">
        <v>60</v>
      </c>
      <c r="L50" t="s">
        <v>22</v>
      </c>
      <c r="N50" t="s">
        <v>400</v>
      </c>
      <c r="O50" t="s">
        <v>76</v>
      </c>
      <c r="P50">
        <v>15</v>
      </c>
      <c r="Q50" t="s">
        <v>400</v>
      </c>
      <c r="R50">
        <v>30</v>
      </c>
      <c r="S50" t="s">
        <v>22</v>
      </c>
    </row>
    <row r="51" spans="1:19" x14ac:dyDescent="0.25">
      <c r="A51" t="s">
        <v>53</v>
      </c>
      <c r="B51">
        <v>1</v>
      </c>
      <c r="C51" t="s">
        <v>152</v>
      </c>
      <c r="D51">
        <v>30</v>
      </c>
      <c r="E51" t="s">
        <v>22</v>
      </c>
      <c r="G51" t="s">
        <v>142</v>
      </c>
      <c r="H51" t="s">
        <v>46</v>
      </c>
      <c r="I51">
        <v>37</v>
      </c>
      <c r="J51" t="s">
        <v>142</v>
      </c>
      <c r="K51">
        <v>30</v>
      </c>
      <c r="L51" t="s">
        <v>22</v>
      </c>
      <c r="N51" t="s">
        <v>404</v>
      </c>
      <c r="O51" t="s">
        <v>76</v>
      </c>
      <c r="P51">
        <v>19</v>
      </c>
      <c r="Q51" t="s">
        <v>404</v>
      </c>
      <c r="R51">
        <v>30</v>
      </c>
      <c r="S51" t="s">
        <v>22</v>
      </c>
    </row>
    <row r="52" spans="1:19" x14ac:dyDescent="0.25">
      <c r="A52" t="s">
        <v>53</v>
      </c>
      <c r="B52">
        <v>2</v>
      </c>
      <c r="C52" t="s">
        <v>153</v>
      </c>
      <c r="D52">
        <v>30</v>
      </c>
      <c r="E52" t="s">
        <v>21</v>
      </c>
      <c r="G52" t="s">
        <v>143</v>
      </c>
      <c r="H52" t="s">
        <v>46</v>
      </c>
      <c r="I52">
        <v>38</v>
      </c>
      <c r="J52" t="s">
        <v>143</v>
      </c>
      <c r="K52">
        <v>60</v>
      </c>
      <c r="L52" t="s">
        <v>22</v>
      </c>
      <c r="N52" t="s">
        <v>405</v>
      </c>
      <c r="O52" t="s">
        <v>76</v>
      </c>
      <c r="P52">
        <v>20</v>
      </c>
      <c r="Q52" t="s">
        <v>405</v>
      </c>
      <c r="R52">
        <v>30</v>
      </c>
      <c r="S52" t="s">
        <v>22</v>
      </c>
    </row>
    <row r="53" spans="1:19" x14ac:dyDescent="0.25">
      <c r="A53" t="s">
        <v>53</v>
      </c>
      <c r="B53">
        <v>9</v>
      </c>
      <c r="C53" t="s">
        <v>155</v>
      </c>
      <c r="D53">
        <v>30</v>
      </c>
      <c r="E53" t="s">
        <v>21</v>
      </c>
      <c r="G53" t="s">
        <v>144</v>
      </c>
      <c r="H53" t="s">
        <v>46</v>
      </c>
      <c r="I53">
        <v>39</v>
      </c>
      <c r="J53" t="s">
        <v>144</v>
      </c>
      <c r="K53">
        <v>60</v>
      </c>
      <c r="L53" t="s">
        <v>22</v>
      </c>
      <c r="N53" t="s">
        <v>406</v>
      </c>
      <c r="O53" t="s">
        <v>76</v>
      </c>
      <c r="P53">
        <v>21</v>
      </c>
      <c r="Q53" t="s">
        <v>406</v>
      </c>
      <c r="R53">
        <v>30</v>
      </c>
      <c r="S53" t="s">
        <v>22</v>
      </c>
    </row>
    <row r="54" spans="1:19" x14ac:dyDescent="0.25">
      <c r="A54" t="s">
        <v>58</v>
      </c>
      <c r="B54">
        <v>1</v>
      </c>
      <c r="C54" t="s">
        <v>184</v>
      </c>
      <c r="D54">
        <v>30</v>
      </c>
      <c r="E54" t="s">
        <v>21</v>
      </c>
      <c r="G54" t="s">
        <v>145</v>
      </c>
      <c r="H54" t="s">
        <v>46</v>
      </c>
      <c r="I54">
        <v>40</v>
      </c>
      <c r="J54" t="s">
        <v>145</v>
      </c>
      <c r="K54">
        <v>60</v>
      </c>
      <c r="L54" t="s">
        <v>22</v>
      </c>
      <c r="N54" t="s">
        <v>407</v>
      </c>
      <c r="O54" t="s">
        <v>76</v>
      </c>
      <c r="P54">
        <v>22</v>
      </c>
      <c r="Q54" t="s">
        <v>407</v>
      </c>
      <c r="R54">
        <v>30</v>
      </c>
      <c r="S54" t="s">
        <v>22</v>
      </c>
    </row>
    <row r="55" spans="1:19" x14ac:dyDescent="0.25">
      <c r="A55" t="s">
        <v>58</v>
      </c>
      <c r="B55">
        <v>2</v>
      </c>
      <c r="C55" t="s">
        <v>185</v>
      </c>
      <c r="D55">
        <v>30</v>
      </c>
      <c r="E55" t="s">
        <v>22</v>
      </c>
      <c r="G55" t="s">
        <v>113</v>
      </c>
      <c r="H55" t="s">
        <v>47</v>
      </c>
      <c r="I55">
        <v>3</v>
      </c>
      <c r="J55" t="s">
        <v>113</v>
      </c>
      <c r="K55">
        <v>30</v>
      </c>
      <c r="L55" t="s">
        <v>22</v>
      </c>
      <c r="N55" t="s">
        <v>408</v>
      </c>
      <c r="O55" t="s">
        <v>76</v>
      </c>
      <c r="P55">
        <v>23</v>
      </c>
      <c r="Q55" t="s">
        <v>408</v>
      </c>
      <c r="R55">
        <v>30</v>
      </c>
      <c r="S55" t="s">
        <v>22</v>
      </c>
    </row>
    <row r="56" spans="1:19" x14ac:dyDescent="0.25">
      <c r="A56" t="s">
        <v>58</v>
      </c>
      <c r="B56">
        <v>3</v>
      </c>
      <c r="C56" t="s">
        <v>186</v>
      </c>
      <c r="D56">
        <v>30</v>
      </c>
      <c r="E56" t="s">
        <v>22</v>
      </c>
      <c r="G56" t="s">
        <v>108</v>
      </c>
      <c r="H56" t="s">
        <v>47</v>
      </c>
      <c r="I56">
        <v>5</v>
      </c>
      <c r="J56" t="s">
        <v>108</v>
      </c>
      <c r="K56">
        <v>30</v>
      </c>
      <c r="L56" t="s">
        <v>22</v>
      </c>
      <c r="N56" t="s">
        <v>409</v>
      </c>
      <c r="O56" t="s">
        <v>76</v>
      </c>
      <c r="P56">
        <v>24</v>
      </c>
      <c r="Q56" t="s">
        <v>409</v>
      </c>
      <c r="R56">
        <v>30</v>
      </c>
      <c r="S56" t="s">
        <v>22</v>
      </c>
    </row>
    <row r="57" spans="1:19" x14ac:dyDescent="0.25">
      <c r="A57" t="s">
        <v>58</v>
      </c>
      <c r="B57">
        <v>11</v>
      </c>
      <c r="C57" t="s">
        <v>188</v>
      </c>
      <c r="D57">
        <v>30</v>
      </c>
      <c r="E57" t="s">
        <v>21</v>
      </c>
      <c r="G57" t="s">
        <v>117</v>
      </c>
      <c r="H57" t="s">
        <v>47</v>
      </c>
      <c r="I57">
        <v>10</v>
      </c>
      <c r="J57" t="s">
        <v>117</v>
      </c>
      <c r="K57">
        <v>60</v>
      </c>
      <c r="L57" t="s">
        <v>22</v>
      </c>
      <c r="N57" t="s">
        <v>410</v>
      </c>
      <c r="O57" t="s">
        <v>76</v>
      </c>
      <c r="P57">
        <v>25</v>
      </c>
      <c r="Q57" t="s">
        <v>410</v>
      </c>
      <c r="R57">
        <v>30</v>
      </c>
      <c r="S57" t="s">
        <v>22</v>
      </c>
    </row>
    <row r="58" spans="1:19" x14ac:dyDescent="0.25">
      <c r="A58" t="s">
        <v>60</v>
      </c>
      <c r="B58">
        <v>1</v>
      </c>
      <c r="C58" t="s">
        <v>234</v>
      </c>
      <c r="D58">
        <v>30</v>
      </c>
      <c r="E58" t="s">
        <v>21</v>
      </c>
      <c r="G58" t="s">
        <v>119</v>
      </c>
      <c r="H58" t="s">
        <v>47</v>
      </c>
      <c r="I58">
        <v>12</v>
      </c>
      <c r="J58" t="s">
        <v>119</v>
      </c>
      <c r="K58">
        <v>60</v>
      </c>
      <c r="L58" t="s">
        <v>22</v>
      </c>
      <c r="N58" t="s">
        <v>413</v>
      </c>
      <c r="O58" t="s">
        <v>76</v>
      </c>
      <c r="P58">
        <v>28</v>
      </c>
      <c r="Q58" t="s">
        <v>413</v>
      </c>
      <c r="R58">
        <v>30</v>
      </c>
      <c r="S58" t="s">
        <v>22</v>
      </c>
    </row>
    <row r="59" spans="1:19" x14ac:dyDescent="0.25">
      <c r="A59" t="s">
        <v>60</v>
      </c>
      <c r="B59">
        <v>2</v>
      </c>
      <c r="C59" t="s">
        <v>235</v>
      </c>
      <c r="D59">
        <v>30</v>
      </c>
      <c r="E59" t="s">
        <v>22</v>
      </c>
      <c r="G59" t="s">
        <v>122</v>
      </c>
      <c r="H59" t="s">
        <v>47</v>
      </c>
      <c r="I59">
        <v>15</v>
      </c>
      <c r="J59" t="s">
        <v>122</v>
      </c>
      <c r="K59">
        <v>60</v>
      </c>
      <c r="L59" t="s">
        <v>22</v>
      </c>
      <c r="N59" t="s">
        <v>414</v>
      </c>
      <c r="O59" t="s">
        <v>76</v>
      </c>
      <c r="P59">
        <v>29</v>
      </c>
      <c r="Q59" t="s">
        <v>414</v>
      </c>
      <c r="R59">
        <v>30</v>
      </c>
      <c r="S59" t="s">
        <v>22</v>
      </c>
    </row>
    <row r="60" spans="1:19" x14ac:dyDescent="0.25">
      <c r="A60" t="s">
        <v>60</v>
      </c>
      <c r="B60">
        <v>9</v>
      </c>
      <c r="C60" t="s">
        <v>238</v>
      </c>
      <c r="D60">
        <v>30</v>
      </c>
      <c r="E60" t="s">
        <v>21</v>
      </c>
      <c r="G60" t="s">
        <v>111</v>
      </c>
      <c r="H60" t="s">
        <v>47</v>
      </c>
      <c r="I60">
        <v>16</v>
      </c>
      <c r="J60" t="s">
        <v>111</v>
      </c>
      <c r="K60">
        <v>30</v>
      </c>
      <c r="L60" t="s">
        <v>22</v>
      </c>
      <c r="N60" t="s">
        <v>421</v>
      </c>
      <c r="O60" t="s">
        <v>76</v>
      </c>
      <c r="P60">
        <v>38</v>
      </c>
      <c r="Q60" t="s">
        <v>421</v>
      </c>
      <c r="R60">
        <v>30</v>
      </c>
      <c r="S60" t="s">
        <v>22</v>
      </c>
    </row>
    <row r="61" spans="1:19" x14ac:dyDescent="0.25">
      <c r="A61" t="s">
        <v>60</v>
      </c>
      <c r="B61">
        <v>10</v>
      </c>
      <c r="C61" t="s">
        <v>239</v>
      </c>
      <c r="D61">
        <v>30</v>
      </c>
      <c r="E61" t="s">
        <v>22</v>
      </c>
      <c r="G61" t="s">
        <v>123</v>
      </c>
      <c r="H61" t="s">
        <v>47</v>
      </c>
      <c r="I61">
        <v>17</v>
      </c>
      <c r="J61" t="s">
        <v>123</v>
      </c>
      <c r="K61">
        <v>30</v>
      </c>
      <c r="L61" t="s">
        <v>22</v>
      </c>
      <c r="N61" t="s">
        <v>422</v>
      </c>
      <c r="O61" t="s">
        <v>76</v>
      </c>
      <c r="P61">
        <v>39</v>
      </c>
      <c r="Q61" t="s">
        <v>422</v>
      </c>
      <c r="R61">
        <v>30</v>
      </c>
      <c r="S61" t="s">
        <v>22</v>
      </c>
    </row>
    <row r="62" spans="1:19" x14ac:dyDescent="0.25">
      <c r="A62" t="s">
        <v>64</v>
      </c>
      <c r="B62">
        <v>1</v>
      </c>
      <c r="C62" t="s">
        <v>279</v>
      </c>
      <c r="D62">
        <v>30</v>
      </c>
      <c r="E62" t="s">
        <v>21</v>
      </c>
      <c r="G62" t="s">
        <v>127</v>
      </c>
      <c r="H62" t="s">
        <v>47</v>
      </c>
      <c r="I62">
        <v>21</v>
      </c>
      <c r="J62" t="s">
        <v>127</v>
      </c>
      <c r="K62">
        <v>60</v>
      </c>
      <c r="L62" t="s">
        <v>22</v>
      </c>
      <c r="N62" t="s">
        <v>395</v>
      </c>
      <c r="O62" t="s">
        <v>78</v>
      </c>
      <c r="P62">
        <v>10</v>
      </c>
      <c r="Q62" t="s">
        <v>395</v>
      </c>
      <c r="R62">
        <v>30</v>
      </c>
      <c r="S62" t="s">
        <v>22</v>
      </c>
    </row>
    <row r="63" spans="1:19" x14ac:dyDescent="0.25">
      <c r="A63" t="s">
        <v>64</v>
      </c>
      <c r="B63">
        <v>2</v>
      </c>
      <c r="C63" t="s">
        <v>280</v>
      </c>
      <c r="D63">
        <v>30</v>
      </c>
      <c r="E63" t="s">
        <v>22</v>
      </c>
      <c r="G63" t="s">
        <v>113</v>
      </c>
      <c r="H63" t="s">
        <v>48</v>
      </c>
      <c r="I63">
        <v>3</v>
      </c>
      <c r="J63" t="s">
        <v>113</v>
      </c>
      <c r="K63">
        <v>30</v>
      </c>
      <c r="L63" t="s">
        <v>22</v>
      </c>
      <c r="N63" t="s">
        <v>396</v>
      </c>
      <c r="O63" t="s">
        <v>78</v>
      </c>
      <c r="P63">
        <v>11</v>
      </c>
      <c r="Q63" t="s">
        <v>396</v>
      </c>
      <c r="R63">
        <v>30</v>
      </c>
      <c r="S63" t="s">
        <v>22</v>
      </c>
    </row>
    <row r="64" spans="1:19" x14ac:dyDescent="0.25">
      <c r="A64" t="s">
        <v>64</v>
      </c>
      <c r="B64">
        <v>3</v>
      </c>
      <c r="C64" t="s">
        <v>281</v>
      </c>
      <c r="D64">
        <v>30</v>
      </c>
      <c r="E64" t="s">
        <v>22</v>
      </c>
      <c r="G64" t="s">
        <v>108</v>
      </c>
      <c r="H64" t="s">
        <v>48</v>
      </c>
      <c r="I64">
        <v>5</v>
      </c>
      <c r="J64" t="s">
        <v>108</v>
      </c>
      <c r="K64">
        <v>30</v>
      </c>
      <c r="L64" t="s">
        <v>22</v>
      </c>
      <c r="N64" t="s">
        <v>397</v>
      </c>
      <c r="O64" t="s">
        <v>78</v>
      </c>
      <c r="P64">
        <v>12</v>
      </c>
      <c r="Q64" t="s">
        <v>397</v>
      </c>
      <c r="R64">
        <v>30</v>
      </c>
      <c r="S64" t="s">
        <v>22</v>
      </c>
    </row>
    <row r="65" spans="1:19" x14ac:dyDescent="0.25">
      <c r="A65" t="s">
        <v>64</v>
      </c>
      <c r="B65">
        <v>9</v>
      </c>
      <c r="C65" t="s">
        <v>284</v>
      </c>
      <c r="D65">
        <v>30</v>
      </c>
      <c r="E65" t="s">
        <v>21</v>
      </c>
      <c r="G65" t="s">
        <v>116</v>
      </c>
      <c r="H65" t="s">
        <v>48</v>
      </c>
      <c r="I65">
        <v>9</v>
      </c>
      <c r="J65" t="s">
        <v>116</v>
      </c>
      <c r="K65">
        <v>60</v>
      </c>
      <c r="L65" t="s">
        <v>22</v>
      </c>
      <c r="N65" t="s">
        <v>398</v>
      </c>
      <c r="O65" t="s">
        <v>78</v>
      </c>
      <c r="P65">
        <v>13</v>
      </c>
      <c r="Q65" t="s">
        <v>398</v>
      </c>
      <c r="R65">
        <v>30</v>
      </c>
      <c r="S65" t="s">
        <v>22</v>
      </c>
    </row>
    <row r="66" spans="1:19" x14ac:dyDescent="0.25">
      <c r="A66" t="s">
        <v>69</v>
      </c>
      <c r="B66">
        <v>1</v>
      </c>
      <c r="C66" t="s">
        <v>304</v>
      </c>
      <c r="D66">
        <v>30</v>
      </c>
      <c r="E66" t="s">
        <v>21</v>
      </c>
      <c r="G66" t="s">
        <v>121</v>
      </c>
      <c r="H66" t="s">
        <v>48</v>
      </c>
      <c r="I66">
        <v>14</v>
      </c>
      <c r="J66" t="s">
        <v>121</v>
      </c>
      <c r="K66">
        <v>60</v>
      </c>
      <c r="L66" t="s">
        <v>22</v>
      </c>
      <c r="N66" t="s">
        <v>399</v>
      </c>
      <c r="O66" t="s">
        <v>78</v>
      </c>
      <c r="P66">
        <v>14</v>
      </c>
      <c r="Q66" t="s">
        <v>399</v>
      </c>
      <c r="R66">
        <v>30</v>
      </c>
      <c r="S66" t="s">
        <v>22</v>
      </c>
    </row>
    <row r="67" spans="1:19" x14ac:dyDescent="0.25">
      <c r="A67" t="s">
        <v>69</v>
      </c>
      <c r="B67">
        <v>2</v>
      </c>
      <c r="C67" t="s">
        <v>305</v>
      </c>
      <c r="D67">
        <v>30</v>
      </c>
      <c r="E67" t="s">
        <v>22</v>
      </c>
      <c r="G67" t="s">
        <v>122</v>
      </c>
      <c r="H67" t="s">
        <v>48</v>
      </c>
      <c r="I67">
        <v>15</v>
      </c>
      <c r="J67" t="s">
        <v>122</v>
      </c>
      <c r="K67">
        <v>60</v>
      </c>
      <c r="L67" t="s">
        <v>22</v>
      </c>
      <c r="N67" t="s">
        <v>400</v>
      </c>
      <c r="O67" t="s">
        <v>78</v>
      </c>
      <c r="P67">
        <v>15</v>
      </c>
      <c r="Q67" t="s">
        <v>400</v>
      </c>
      <c r="R67">
        <v>30</v>
      </c>
      <c r="S67" t="s">
        <v>22</v>
      </c>
    </row>
    <row r="68" spans="1:19" x14ac:dyDescent="0.25">
      <c r="A68" t="s">
        <v>69</v>
      </c>
      <c r="B68">
        <v>3</v>
      </c>
      <c r="C68" t="s">
        <v>306</v>
      </c>
      <c r="D68">
        <v>30</v>
      </c>
      <c r="E68" t="s">
        <v>22</v>
      </c>
      <c r="G68" t="s">
        <v>111</v>
      </c>
      <c r="H68" t="s">
        <v>48</v>
      </c>
      <c r="I68">
        <v>16</v>
      </c>
      <c r="J68" t="s">
        <v>111</v>
      </c>
      <c r="K68">
        <v>30</v>
      </c>
      <c r="L68" t="s">
        <v>22</v>
      </c>
      <c r="N68" t="s">
        <v>401</v>
      </c>
      <c r="O68" t="s">
        <v>78</v>
      </c>
      <c r="P68">
        <v>16</v>
      </c>
      <c r="Q68" t="s">
        <v>401</v>
      </c>
      <c r="R68">
        <v>30</v>
      </c>
      <c r="S68" t="s">
        <v>22</v>
      </c>
    </row>
    <row r="69" spans="1:19" x14ac:dyDescent="0.25">
      <c r="A69" t="s">
        <v>69</v>
      </c>
      <c r="B69">
        <v>9</v>
      </c>
      <c r="C69" t="s">
        <v>307</v>
      </c>
      <c r="D69">
        <v>30</v>
      </c>
      <c r="E69" t="s">
        <v>21</v>
      </c>
      <c r="G69" t="s">
        <v>123</v>
      </c>
      <c r="H69" t="s">
        <v>48</v>
      </c>
      <c r="I69">
        <v>17</v>
      </c>
      <c r="J69" t="s">
        <v>123</v>
      </c>
      <c r="K69">
        <v>30</v>
      </c>
      <c r="L69" t="s">
        <v>22</v>
      </c>
      <c r="N69" t="s">
        <v>402</v>
      </c>
      <c r="O69" t="s">
        <v>78</v>
      </c>
      <c r="P69">
        <v>17</v>
      </c>
      <c r="Q69" t="s">
        <v>402</v>
      </c>
      <c r="R69">
        <v>30</v>
      </c>
      <c r="S69" t="s">
        <v>22</v>
      </c>
    </row>
    <row r="70" spans="1:19" x14ac:dyDescent="0.25">
      <c r="A70" t="s">
        <v>69</v>
      </c>
      <c r="B70">
        <v>14</v>
      </c>
      <c r="C70" t="s">
        <v>308</v>
      </c>
      <c r="D70">
        <v>60</v>
      </c>
      <c r="E70" t="s">
        <v>22</v>
      </c>
      <c r="G70" t="s">
        <v>128</v>
      </c>
      <c r="H70" t="s">
        <v>48</v>
      </c>
      <c r="I70">
        <v>22</v>
      </c>
      <c r="J70" t="s">
        <v>128</v>
      </c>
      <c r="K70">
        <v>60</v>
      </c>
      <c r="L70" t="s">
        <v>22</v>
      </c>
      <c r="N70" t="s">
        <v>403</v>
      </c>
      <c r="O70" t="s">
        <v>78</v>
      </c>
      <c r="P70">
        <v>18</v>
      </c>
      <c r="Q70" t="s">
        <v>403</v>
      </c>
      <c r="R70">
        <v>30</v>
      </c>
      <c r="S70" t="s">
        <v>22</v>
      </c>
    </row>
    <row r="71" spans="1:19" x14ac:dyDescent="0.25">
      <c r="A71" t="s">
        <v>70</v>
      </c>
      <c r="B71">
        <v>1</v>
      </c>
      <c r="C71" t="s">
        <v>327</v>
      </c>
      <c r="D71">
        <v>30</v>
      </c>
      <c r="E71" t="s">
        <v>21</v>
      </c>
      <c r="G71" t="s">
        <v>130</v>
      </c>
      <c r="H71" t="s">
        <v>48</v>
      </c>
      <c r="I71">
        <v>25</v>
      </c>
      <c r="J71" t="s">
        <v>130</v>
      </c>
      <c r="K71">
        <v>60</v>
      </c>
      <c r="L71" t="s">
        <v>22</v>
      </c>
      <c r="N71" t="s">
        <v>222</v>
      </c>
      <c r="O71" t="s">
        <v>59</v>
      </c>
      <c r="P71">
        <v>9</v>
      </c>
      <c r="Q71" t="s">
        <v>222</v>
      </c>
      <c r="R71">
        <v>60</v>
      </c>
      <c r="S71" t="s">
        <v>22</v>
      </c>
    </row>
    <row r="72" spans="1:19" x14ac:dyDescent="0.25">
      <c r="A72" t="s">
        <v>70</v>
      </c>
      <c r="B72">
        <v>2</v>
      </c>
      <c r="C72" t="s">
        <v>328</v>
      </c>
      <c r="D72">
        <v>30</v>
      </c>
      <c r="E72" t="s">
        <v>21</v>
      </c>
      <c r="G72" t="s">
        <v>140</v>
      </c>
      <c r="H72" t="s">
        <v>48</v>
      </c>
      <c r="I72">
        <v>35</v>
      </c>
      <c r="J72" t="s">
        <v>140</v>
      </c>
      <c r="K72">
        <v>60</v>
      </c>
      <c r="L72" t="s">
        <v>22</v>
      </c>
      <c r="N72" t="s">
        <v>223</v>
      </c>
      <c r="O72" t="s">
        <v>59</v>
      </c>
      <c r="P72">
        <v>10</v>
      </c>
      <c r="Q72" t="s">
        <v>223</v>
      </c>
      <c r="R72">
        <v>60</v>
      </c>
      <c r="S72" t="s">
        <v>22</v>
      </c>
    </row>
    <row r="73" spans="1:19" x14ac:dyDescent="0.25">
      <c r="A73" t="s">
        <v>70</v>
      </c>
      <c r="B73">
        <v>3</v>
      </c>
      <c r="C73" t="s">
        <v>329</v>
      </c>
      <c r="D73">
        <v>30</v>
      </c>
      <c r="E73" t="s">
        <v>22</v>
      </c>
      <c r="G73" t="s">
        <v>141</v>
      </c>
      <c r="H73" t="s">
        <v>48</v>
      </c>
      <c r="I73">
        <v>36</v>
      </c>
      <c r="J73" t="s">
        <v>141</v>
      </c>
      <c r="K73">
        <v>60</v>
      </c>
      <c r="L73" t="s">
        <v>22</v>
      </c>
      <c r="N73" t="s">
        <v>224</v>
      </c>
      <c r="O73" t="s">
        <v>59</v>
      </c>
      <c r="P73">
        <v>11</v>
      </c>
      <c r="Q73" t="s">
        <v>224</v>
      </c>
      <c r="R73">
        <v>60</v>
      </c>
      <c r="S73" t="s">
        <v>22</v>
      </c>
    </row>
    <row r="74" spans="1:19" x14ac:dyDescent="0.25">
      <c r="A74" t="s">
        <v>73</v>
      </c>
      <c r="B74">
        <v>1</v>
      </c>
      <c r="C74" t="s">
        <v>356</v>
      </c>
      <c r="D74">
        <v>30</v>
      </c>
      <c r="E74" t="s">
        <v>21</v>
      </c>
      <c r="G74" t="s">
        <v>142</v>
      </c>
      <c r="H74" t="s">
        <v>49</v>
      </c>
      <c r="I74">
        <v>37</v>
      </c>
      <c r="J74" t="s">
        <v>142</v>
      </c>
      <c r="K74">
        <v>30</v>
      </c>
      <c r="L74" t="s">
        <v>22</v>
      </c>
      <c r="N74" t="s">
        <v>225</v>
      </c>
      <c r="O74" t="s">
        <v>59</v>
      </c>
      <c r="P74">
        <v>12</v>
      </c>
      <c r="Q74" t="s">
        <v>225</v>
      </c>
      <c r="R74">
        <v>30</v>
      </c>
      <c r="S74" t="s">
        <v>22</v>
      </c>
    </row>
    <row r="75" spans="1:19" x14ac:dyDescent="0.25">
      <c r="A75" t="s">
        <v>73</v>
      </c>
      <c r="B75">
        <v>2</v>
      </c>
      <c r="C75" t="s">
        <v>357</v>
      </c>
      <c r="D75">
        <v>30</v>
      </c>
      <c r="E75" t="s">
        <v>22</v>
      </c>
      <c r="G75" t="s">
        <v>113</v>
      </c>
      <c r="H75" t="s">
        <v>49</v>
      </c>
      <c r="I75">
        <v>3</v>
      </c>
      <c r="J75" t="s">
        <v>113</v>
      </c>
      <c r="K75">
        <v>30</v>
      </c>
      <c r="L75" t="s">
        <v>22</v>
      </c>
      <c r="N75" t="s">
        <v>226</v>
      </c>
      <c r="O75" t="s">
        <v>59</v>
      </c>
      <c r="P75">
        <v>13</v>
      </c>
      <c r="Q75" t="s">
        <v>226</v>
      </c>
      <c r="R75">
        <v>30</v>
      </c>
      <c r="S75" t="s">
        <v>22</v>
      </c>
    </row>
    <row r="76" spans="1:19" x14ac:dyDescent="0.25">
      <c r="A76" t="s">
        <v>73</v>
      </c>
      <c r="B76">
        <v>8</v>
      </c>
      <c r="C76" t="s">
        <v>358</v>
      </c>
      <c r="D76">
        <v>30</v>
      </c>
      <c r="E76" t="s">
        <v>21</v>
      </c>
      <c r="G76" t="s">
        <v>114</v>
      </c>
      <c r="H76" t="s">
        <v>49</v>
      </c>
      <c r="I76">
        <v>4</v>
      </c>
      <c r="J76" t="s">
        <v>114</v>
      </c>
      <c r="K76">
        <v>30</v>
      </c>
      <c r="L76" t="s">
        <v>22</v>
      </c>
      <c r="N76" t="s">
        <v>227</v>
      </c>
      <c r="O76" t="s">
        <v>59</v>
      </c>
      <c r="P76">
        <v>14</v>
      </c>
      <c r="Q76" t="s">
        <v>227</v>
      </c>
      <c r="R76">
        <v>30</v>
      </c>
      <c r="S76" t="s">
        <v>22</v>
      </c>
    </row>
    <row r="77" spans="1:19" x14ac:dyDescent="0.25">
      <c r="A77" t="s">
        <v>73</v>
      </c>
      <c r="B77">
        <v>16</v>
      </c>
      <c r="C77" t="s">
        <v>359</v>
      </c>
      <c r="D77">
        <v>30</v>
      </c>
      <c r="E77" t="s">
        <v>22</v>
      </c>
      <c r="G77" t="s">
        <v>108</v>
      </c>
      <c r="H77" t="s">
        <v>49</v>
      </c>
      <c r="I77">
        <v>5</v>
      </c>
      <c r="J77" t="s">
        <v>108</v>
      </c>
      <c r="K77">
        <v>30</v>
      </c>
      <c r="L77" t="s">
        <v>22</v>
      </c>
      <c r="N77" t="s">
        <v>228</v>
      </c>
      <c r="O77" t="s">
        <v>59</v>
      </c>
      <c r="P77">
        <v>15</v>
      </c>
      <c r="Q77" t="s">
        <v>228</v>
      </c>
      <c r="R77">
        <v>30</v>
      </c>
      <c r="S77" t="s">
        <v>22</v>
      </c>
    </row>
    <row r="78" spans="1:19" x14ac:dyDescent="0.25">
      <c r="A78" t="s">
        <v>73</v>
      </c>
      <c r="B78">
        <v>17</v>
      </c>
      <c r="C78" t="s">
        <v>360</v>
      </c>
      <c r="D78">
        <v>60</v>
      </c>
      <c r="E78" t="s">
        <v>22</v>
      </c>
      <c r="G78" t="s">
        <v>115</v>
      </c>
      <c r="H78" t="s">
        <v>49</v>
      </c>
      <c r="I78">
        <v>8</v>
      </c>
      <c r="J78" t="s">
        <v>115</v>
      </c>
      <c r="K78">
        <v>30</v>
      </c>
      <c r="L78" t="s">
        <v>22</v>
      </c>
      <c r="N78" t="s">
        <v>229</v>
      </c>
      <c r="O78" t="s">
        <v>59</v>
      </c>
      <c r="P78">
        <v>16</v>
      </c>
      <c r="Q78" t="s">
        <v>229</v>
      </c>
      <c r="R78">
        <v>30</v>
      </c>
      <c r="S78" t="s">
        <v>22</v>
      </c>
    </row>
    <row r="79" spans="1:19" x14ac:dyDescent="0.25">
      <c r="A79" t="s">
        <v>74</v>
      </c>
      <c r="B79">
        <v>1</v>
      </c>
      <c r="C79" t="s">
        <v>384</v>
      </c>
      <c r="D79">
        <v>30</v>
      </c>
      <c r="E79" t="s">
        <v>21</v>
      </c>
      <c r="G79" t="s">
        <v>117</v>
      </c>
      <c r="H79" t="s">
        <v>49</v>
      </c>
      <c r="I79">
        <v>10</v>
      </c>
      <c r="J79" t="s">
        <v>117</v>
      </c>
      <c r="K79">
        <v>60</v>
      </c>
      <c r="L79" t="s">
        <v>22</v>
      </c>
      <c r="N79" t="s">
        <v>230</v>
      </c>
      <c r="O79" t="s">
        <v>59</v>
      </c>
      <c r="P79">
        <v>17</v>
      </c>
      <c r="Q79" t="s">
        <v>230</v>
      </c>
      <c r="R79">
        <v>30</v>
      </c>
      <c r="S79" t="s">
        <v>22</v>
      </c>
    </row>
    <row r="80" spans="1:19" x14ac:dyDescent="0.25">
      <c r="A80" t="s">
        <v>74</v>
      </c>
      <c r="B80">
        <v>2</v>
      </c>
      <c r="C80" t="s">
        <v>385</v>
      </c>
      <c r="D80">
        <v>30</v>
      </c>
      <c r="E80" t="s">
        <v>22</v>
      </c>
      <c r="G80" t="s">
        <v>122</v>
      </c>
      <c r="H80" t="s">
        <v>49</v>
      </c>
      <c r="I80">
        <v>15</v>
      </c>
      <c r="J80" t="s">
        <v>122</v>
      </c>
      <c r="K80">
        <v>60</v>
      </c>
      <c r="L80" t="s">
        <v>22</v>
      </c>
      <c r="N80" t="s">
        <v>231</v>
      </c>
      <c r="O80" t="s">
        <v>59</v>
      </c>
      <c r="P80">
        <v>18</v>
      </c>
      <c r="Q80" t="s">
        <v>231</v>
      </c>
      <c r="R80">
        <v>30</v>
      </c>
      <c r="S80" t="s">
        <v>22</v>
      </c>
    </row>
    <row r="81" spans="1:12" x14ac:dyDescent="0.25">
      <c r="A81" t="s">
        <v>74</v>
      </c>
      <c r="B81">
        <v>8</v>
      </c>
      <c r="C81" t="s">
        <v>386</v>
      </c>
      <c r="D81">
        <v>30</v>
      </c>
      <c r="E81" t="s">
        <v>21</v>
      </c>
      <c r="G81" t="s">
        <v>111</v>
      </c>
      <c r="H81" t="s">
        <v>49</v>
      </c>
      <c r="I81">
        <v>16</v>
      </c>
      <c r="J81" t="s">
        <v>111</v>
      </c>
      <c r="K81">
        <v>30</v>
      </c>
      <c r="L81" t="s">
        <v>22</v>
      </c>
    </row>
    <row r="82" spans="1:12" x14ac:dyDescent="0.25">
      <c r="A82" t="s">
        <v>75</v>
      </c>
      <c r="B82">
        <v>1</v>
      </c>
      <c r="C82" t="s">
        <v>384</v>
      </c>
      <c r="D82">
        <v>30</v>
      </c>
      <c r="E82" t="s">
        <v>21</v>
      </c>
      <c r="G82" t="s">
        <v>123</v>
      </c>
      <c r="H82" t="s">
        <v>49</v>
      </c>
      <c r="I82">
        <v>17</v>
      </c>
      <c r="J82" t="s">
        <v>123</v>
      </c>
      <c r="K82">
        <v>30</v>
      </c>
      <c r="L82" t="s">
        <v>22</v>
      </c>
    </row>
    <row r="83" spans="1:12" x14ac:dyDescent="0.25">
      <c r="A83" t="s">
        <v>75</v>
      </c>
      <c r="B83">
        <v>2</v>
      </c>
      <c r="C83" t="s">
        <v>385</v>
      </c>
      <c r="D83">
        <v>30</v>
      </c>
      <c r="E83" t="s">
        <v>22</v>
      </c>
      <c r="G83" t="s">
        <v>126</v>
      </c>
      <c r="H83" t="s">
        <v>49</v>
      </c>
      <c r="I83">
        <v>20</v>
      </c>
      <c r="J83" t="s">
        <v>126</v>
      </c>
      <c r="K83">
        <v>60</v>
      </c>
      <c r="L83" t="s">
        <v>22</v>
      </c>
    </row>
    <row r="84" spans="1:12" x14ac:dyDescent="0.25">
      <c r="A84" t="s">
        <v>75</v>
      </c>
      <c r="B84">
        <v>3</v>
      </c>
      <c r="C84" t="s">
        <v>390</v>
      </c>
      <c r="D84">
        <v>60</v>
      </c>
      <c r="E84" t="s">
        <v>22</v>
      </c>
      <c r="G84" t="s">
        <v>128</v>
      </c>
      <c r="H84" t="s">
        <v>49</v>
      </c>
      <c r="I84">
        <v>22</v>
      </c>
      <c r="J84" t="s">
        <v>128</v>
      </c>
      <c r="K84">
        <v>60</v>
      </c>
      <c r="L84" t="s">
        <v>22</v>
      </c>
    </row>
    <row r="85" spans="1:12" x14ac:dyDescent="0.25">
      <c r="A85" t="s">
        <v>75</v>
      </c>
      <c r="B85">
        <v>8</v>
      </c>
      <c r="C85" t="s">
        <v>386</v>
      </c>
      <c r="D85">
        <v>30</v>
      </c>
      <c r="E85" t="s">
        <v>21</v>
      </c>
      <c r="G85" t="s">
        <v>136</v>
      </c>
      <c r="H85" t="s">
        <v>49</v>
      </c>
      <c r="I85">
        <v>31</v>
      </c>
      <c r="J85" t="s">
        <v>136</v>
      </c>
      <c r="K85">
        <v>60</v>
      </c>
      <c r="L85" t="s">
        <v>22</v>
      </c>
    </row>
    <row r="86" spans="1:12" x14ac:dyDescent="0.25">
      <c r="A86" t="s">
        <v>76</v>
      </c>
      <c r="B86">
        <v>1</v>
      </c>
      <c r="C86" t="s">
        <v>384</v>
      </c>
      <c r="D86">
        <v>30</v>
      </c>
      <c r="E86" t="s">
        <v>21</v>
      </c>
      <c r="G86" t="s">
        <v>137</v>
      </c>
      <c r="H86" t="s">
        <v>49</v>
      </c>
      <c r="I86">
        <v>32</v>
      </c>
      <c r="J86" t="s">
        <v>137</v>
      </c>
      <c r="K86">
        <v>60</v>
      </c>
      <c r="L86" t="s">
        <v>22</v>
      </c>
    </row>
    <row r="87" spans="1:12" x14ac:dyDescent="0.25">
      <c r="A87" t="s">
        <v>76</v>
      </c>
      <c r="B87">
        <v>2</v>
      </c>
      <c r="C87" t="s">
        <v>385</v>
      </c>
      <c r="D87">
        <v>30</v>
      </c>
      <c r="E87" t="s">
        <v>22</v>
      </c>
      <c r="G87" t="s">
        <v>139</v>
      </c>
      <c r="H87" t="s">
        <v>49</v>
      </c>
      <c r="I87">
        <v>34</v>
      </c>
      <c r="J87" t="s">
        <v>139</v>
      </c>
      <c r="K87">
        <v>60</v>
      </c>
      <c r="L87" t="s">
        <v>22</v>
      </c>
    </row>
    <row r="88" spans="1:12" x14ac:dyDescent="0.25">
      <c r="A88" t="s">
        <v>76</v>
      </c>
      <c r="B88">
        <v>4</v>
      </c>
      <c r="C88" t="s">
        <v>391</v>
      </c>
      <c r="D88">
        <v>60</v>
      </c>
      <c r="E88" t="s">
        <v>22</v>
      </c>
      <c r="G88" t="s">
        <v>113</v>
      </c>
      <c r="H88" t="s">
        <v>50</v>
      </c>
      <c r="I88">
        <v>3</v>
      </c>
      <c r="J88" t="s">
        <v>113</v>
      </c>
      <c r="K88">
        <v>30</v>
      </c>
      <c r="L88" t="s">
        <v>22</v>
      </c>
    </row>
    <row r="89" spans="1:12" x14ac:dyDescent="0.25">
      <c r="A89" t="s">
        <v>76</v>
      </c>
      <c r="B89">
        <v>8</v>
      </c>
      <c r="C89" t="s">
        <v>386</v>
      </c>
      <c r="D89">
        <v>30</v>
      </c>
      <c r="E89" t="s">
        <v>21</v>
      </c>
      <c r="G89" t="s">
        <v>114</v>
      </c>
      <c r="H89" t="s">
        <v>50</v>
      </c>
      <c r="I89">
        <v>4</v>
      </c>
      <c r="J89" t="s">
        <v>114</v>
      </c>
      <c r="K89">
        <v>30</v>
      </c>
      <c r="L89" t="s">
        <v>22</v>
      </c>
    </row>
    <row r="90" spans="1:12" x14ac:dyDescent="0.25">
      <c r="A90" t="s">
        <v>78</v>
      </c>
      <c r="B90">
        <v>1</v>
      </c>
      <c r="C90" t="s">
        <v>384</v>
      </c>
      <c r="D90">
        <v>30</v>
      </c>
      <c r="E90" t="s">
        <v>21</v>
      </c>
      <c r="G90" t="s">
        <v>108</v>
      </c>
      <c r="H90" t="s">
        <v>50</v>
      </c>
      <c r="I90">
        <v>5</v>
      </c>
      <c r="J90" t="s">
        <v>108</v>
      </c>
      <c r="K90">
        <v>30</v>
      </c>
      <c r="L90" t="s">
        <v>22</v>
      </c>
    </row>
    <row r="91" spans="1:12" x14ac:dyDescent="0.25">
      <c r="A91" t="s">
        <v>78</v>
      </c>
      <c r="B91">
        <v>2</v>
      </c>
      <c r="C91" t="s">
        <v>385</v>
      </c>
      <c r="D91">
        <v>30</v>
      </c>
      <c r="E91" t="s">
        <v>22</v>
      </c>
      <c r="G91" t="s">
        <v>115</v>
      </c>
      <c r="H91" t="s">
        <v>50</v>
      </c>
      <c r="I91">
        <v>8</v>
      </c>
      <c r="J91" t="s">
        <v>115</v>
      </c>
      <c r="K91">
        <v>30</v>
      </c>
      <c r="L91" t="s">
        <v>22</v>
      </c>
    </row>
    <row r="92" spans="1:12" x14ac:dyDescent="0.25">
      <c r="A92" t="s">
        <v>78</v>
      </c>
      <c r="B92">
        <v>7</v>
      </c>
      <c r="C92" t="s">
        <v>394</v>
      </c>
      <c r="D92">
        <v>60</v>
      </c>
      <c r="E92" t="s">
        <v>22</v>
      </c>
      <c r="G92" t="s">
        <v>117</v>
      </c>
      <c r="H92" t="s">
        <v>50</v>
      </c>
      <c r="I92">
        <v>10</v>
      </c>
      <c r="J92" t="s">
        <v>117</v>
      </c>
      <c r="K92">
        <v>60</v>
      </c>
      <c r="L92" t="s">
        <v>22</v>
      </c>
    </row>
    <row r="93" spans="1:12" x14ac:dyDescent="0.25">
      <c r="A93" t="s">
        <v>78</v>
      </c>
      <c r="B93">
        <v>8</v>
      </c>
      <c r="C93" t="s">
        <v>386</v>
      </c>
      <c r="D93">
        <v>30</v>
      </c>
      <c r="E93" t="s">
        <v>21</v>
      </c>
      <c r="G93" t="s">
        <v>118</v>
      </c>
      <c r="H93" t="s">
        <v>50</v>
      </c>
      <c r="I93">
        <v>11</v>
      </c>
      <c r="J93" t="s">
        <v>118</v>
      </c>
      <c r="K93">
        <v>60</v>
      </c>
      <c r="L93" t="s">
        <v>22</v>
      </c>
    </row>
    <row r="94" spans="1:12" x14ac:dyDescent="0.25">
      <c r="A94" t="s">
        <v>79</v>
      </c>
      <c r="B94">
        <v>1</v>
      </c>
      <c r="C94" t="s">
        <v>432</v>
      </c>
      <c r="D94">
        <v>30</v>
      </c>
      <c r="E94" t="s">
        <v>21</v>
      </c>
      <c r="G94" t="s">
        <v>119</v>
      </c>
      <c r="H94" t="s">
        <v>50</v>
      </c>
      <c r="I94">
        <v>12</v>
      </c>
      <c r="J94" t="s">
        <v>119</v>
      </c>
      <c r="K94">
        <v>60</v>
      </c>
      <c r="L94" t="s">
        <v>22</v>
      </c>
    </row>
    <row r="95" spans="1:12" x14ac:dyDescent="0.25">
      <c r="A95" t="s">
        <v>79</v>
      </c>
      <c r="B95">
        <v>2</v>
      </c>
      <c r="C95" t="s">
        <v>433</v>
      </c>
      <c r="D95">
        <v>30</v>
      </c>
      <c r="E95" t="s">
        <v>22</v>
      </c>
      <c r="G95" t="s">
        <v>111</v>
      </c>
      <c r="H95" t="s">
        <v>50</v>
      </c>
      <c r="I95">
        <v>16</v>
      </c>
      <c r="J95" t="s">
        <v>111</v>
      </c>
      <c r="K95">
        <v>30</v>
      </c>
      <c r="L95" t="s">
        <v>22</v>
      </c>
    </row>
    <row r="96" spans="1:12" x14ac:dyDescent="0.25">
      <c r="A96" t="s">
        <v>79</v>
      </c>
      <c r="B96">
        <v>6</v>
      </c>
      <c r="C96" t="s">
        <v>434</v>
      </c>
      <c r="D96">
        <v>30</v>
      </c>
      <c r="E96" t="s">
        <v>21</v>
      </c>
      <c r="G96" t="s">
        <v>123</v>
      </c>
      <c r="H96" t="s">
        <v>50</v>
      </c>
      <c r="I96">
        <v>17</v>
      </c>
      <c r="J96" t="s">
        <v>123</v>
      </c>
      <c r="K96">
        <v>30</v>
      </c>
      <c r="L96" t="s">
        <v>22</v>
      </c>
    </row>
    <row r="97" spans="1:12" x14ac:dyDescent="0.25">
      <c r="A97" t="s">
        <v>79</v>
      </c>
      <c r="B97">
        <v>7</v>
      </c>
      <c r="C97" t="s">
        <v>435</v>
      </c>
      <c r="D97">
        <v>60</v>
      </c>
      <c r="E97" t="s">
        <v>22</v>
      </c>
      <c r="G97" t="s">
        <v>125</v>
      </c>
      <c r="H97" t="s">
        <v>50</v>
      </c>
      <c r="I97">
        <v>19</v>
      </c>
      <c r="J97" t="s">
        <v>125</v>
      </c>
      <c r="K97">
        <v>60</v>
      </c>
      <c r="L97" t="s">
        <v>22</v>
      </c>
    </row>
    <row r="98" spans="1:12" x14ac:dyDescent="0.25">
      <c r="A98" t="s">
        <v>82</v>
      </c>
      <c r="B98">
        <v>1</v>
      </c>
      <c r="C98" t="s">
        <v>453</v>
      </c>
      <c r="D98">
        <v>30</v>
      </c>
      <c r="E98" t="s">
        <v>21</v>
      </c>
      <c r="G98" t="s">
        <v>126</v>
      </c>
      <c r="H98" t="s">
        <v>50</v>
      </c>
      <c r="I98">
        <v>20</v>
      </c>
      <c r="J98" t="s">
        <v>126</v>
      </c>
      <c r="K98">
        <v>60</v>
      </c>
      <c r="L98" t="s">
        <v>22</v>
      </c>
    </row>
    <row r="99" spans="1:12" x14ac:dyDescent="0.25">
      <c r="A99" t="s">
        <v>82</v>
      </c>
      <c r="B99">
        <v>2</v>
      </c>
      <c r="C99" t="s">
        <v>454</v>
      </c>
      <c r="D99">
        <v>30</v>
      </c>
      <c r="E99" t="s">
        <v>22</v>
      </c>
      <c r="G99" t="s">
        <v>108</v>
      </c>
      <c r="H99" t="s">
        <v>51</v>
      </c>
      <c r="I99">
        <v>5</v>
      </c>
      <c r="J99" t="s">
        <v>108</v>
      </c>
      <c r="K99">
        <v>30</v>
      </c>
      <c r="L99" t="s">
        <v>22</v>
      </c>
    </row>
    <row r="100" spans="1:12" x14ac:dyDescent="0.25">
      <c r="A100" t="s">
        <v>82</v>
      </c>
      <c r="B100">
        <v>7</v>
      </c>
      <c r="C100" t="s">
        <v>458</v>
      </c>
      <c r="D100">
        <v>30</v>
      </c>
      <c r="E100" t="s">
        <v>21</v>
      </c>
      <c r="G100" t="s">
        <v>115</v>
      </c>
      <c r="H100" t="s">
        <v>51</v>
      </c>
      <c r="I100">
        <v>8</v>
      </c>
      <c r="J100" t="s">
        <v>115</v>
      </c>
      <c r="K100">
        <v>30</v>
      </c>
      <c r="L100" t="s">
        <v>22</v>
      </c>
    </row>
    <row r="101" spans="1:12" x14ac:dyDescent="0.25">
      <c r="A101" t="s">
        <v>87</v>
      </c>
      <c r="B101">
        <v>1</v>
      </c>
      <c r="C101" t="s">
        <v>482</v>
      </c>
      <c r="D101">
        <v>30</v>
      </c>
      <c r="E101" t="s">
        <v>21</v>
      </c>
      <c r="G101" t="s">
        <v>116</v>
      </c>
      <c r="H101" t="s">
        <v>51</v>
      </c>
      <c r="I101">
        <v>9</v>
      </c>
      <c r="J101" t="s">
        <v>116</v>
      </c>
      <c r="K101">
        <v>60</v>
      </c>
      <c r="L101" t="s">
        <v>22</v>
      </c>
    </row>
    <row r="102" spans="1:12" x14ac:dyDescent="0.25">
      <c r="A102" t="s">
        <v>87</v>
      </c>
      <c r="B102">
        <v>2</v>
      </c>
      <c r="C102" t="s">
        <v>483</v>
      </c>
      <c r="D102">
        <v>30</v>
      </c>
      <c r="E102" t="s">
        <v>22</v>
      </c>
      <c r="G102" t="s">
        <v>117</v>
      </c>
      <c r="H102" t="s">
        <v>51</v>
      </c>
      <c r="I102">
        <v>10</v>
      </c>
      <c r="J102" t="s">
        <v>117</v>
      </c>
      <c r="K102">
        <v>60</v>
      </c>
      <c r="L102" t="s">
        <v>22</v>
      </c>
    </row>
    <row r="103" spans="1:12" x14ac:dyDescent="0.25">
      <c r="A103" t="s">
        <v>87</v>
      </c>
      <c r="B103">
        <v>4</v>
      </c>
      <c r="C103" t="s">
        <v>485</v>
      </c>
      <c r="D103">
        <v>30</v>
      </c>
      <c r="E103" t="s">
        <v>22</v>
      </c>
      <c r="G103" t="s">
        <v>118</v>
      </c>
      <c r="H103" t="s">
        <v>51</v>
      </c>
      <c r="I103">
        <v>11</v>
      </c>
      <c r="J103" t="s">
        <v>118</v>
      </c>
      <c r="K103">
        <v>60</v>
      </c>
      <c r="L103" t="s">
        <v>22</v>
      </c>
    </row>
    <row r="104" spans="1:12" x14ac:dyDescent="0.25">
      <c r="A104" t="s">
        <v>87</v>
      </c>
      <c r="B104">
        <v>7</v>
      </c>
      <c r="C104" t="s">
        <v>487</v>
      </c>
      <c r="D104">
        <v>30</v>
      </c>
      <c r="E104" t="s">
        <v>21</v>
      </c>
      <c r="G104" t="s">
        <v>119</v>
      </c>
      <c r="H104" t="s">
        <v>51</v>
      </c>
      <c r="I104">
        <v>12</v>
      </c>
      <c r="J104" t="s">
        <v>119</v>
      </c>
      <c r="K104">
        <v>60</v>
      </c>
      <c r="L104" t="s">
        <v>22</v>
      </c>
    </row>
    <row r="105" spans="1:12" x14ac:dyDescent="0.25">
      <c r="A105" t="s">
        <v>59</v>
      </c>
      <c r="B105">
        <v>1</v>
      </c>
      <c r="C105" t="s">
        <v>212</v>
      </c>
      <c r="D105">
        <v>30</v>
      </c>
      <c r="E105" t="s">
        <v>21</v>
      </c>
      <c r="G105" t="s">
        <v>121</v>
      </c>
      <c r="H105" t="s">
        <v>51</v>
      </c>
      <c r="I105">
        <v>14</v>
      </c>
      <c r="J105" t="s">
        <v>121</v>
      </c>
      <c r="K105">
        <v>60</v>
      </c>
      <c r="L105" t="s">
        <v>22</v>
      </c>
    </row>
    <row r="106" spans="1:12" x14ac:dyDescent="0.25">
      <c r="A106" t="s">
        <v>59</v>
      </c>
      <c r="B106">
        <v>2</v>
      </c>
      <c r="C106" t="s">
        <v>213</v>
      </c>
      <c r="D106">
        <v>30</v>
      </c>
      <c r="E106" t="s">
        <v>22</v>
      </c>
      <c r="G106" t="s">
        <v>111</v>
      </c>
      <c r="H106" t="s">
        <v>51</v>
      </c>
      <c r="I106">
        <v>16</v>
      </c>
      <c r="J106" t="s">
        <v>111</v>
      </c>
      <c r="K106">
        <v>30</v>
      </c>
      <c r="L106" t="s">
        <v>22</v>
      </c>
    </row>
    <row r="107" spans="1:12" x14ac:dyDescent="0.25">
      <c r="A107" t="s">
        <v>59</v>
      </c>
      <c r="B107">
        <v>8</v>
      </c>
      <c r="C107" t="s">
        <v>214</v>
      </c>
      <c r="D107">
        <v>30</v>
      </c>
      <c r="E107" t="s">
        <v>21</v>
      </c>
      <c r="G107" t="s">
        <v>123</v>
      </c>
      <c r="H107" t="s">
        <v>51</v>
      </c>
      <c r="I107">
        <v>17</v>
      </c>
      <c r="J107" t="s">
        <v>123</v>
      </c>
      <c r="K107">
        <v>30</v>
      </c>
      <c r="L107" t="s">
        <v>22</v>
      </c>
    </row>
    <row r="108" spans="1:12" x14ac:dyDescent="0.25">
      <c r="G108" t="s">
        <v>126</v>
      </c>
      <c r="H108" t="s">
        <v>51</v>
      </c>
      <c r="I108">
        <v>20</v>
      </c>
      <c r="J108" t="s">
        <v>126</v>
      </c>
      <c r="K108">
        <v>60</v>
      </c>
      <c r="L108" t="s">
        <v>22</v>
      </c>
    </row>
    <row r="109" spans="1:12" x14ac:dyDescent="0.25">
      <c r="G109" t="s">
        <v>133</v>
      </c>
      <c r="H109" t="s">
        <v>51</v>
      </c>
      <c r="I109">
        <v>28</v>
      </c>
      <c r="J109" t="s">
        <v>133</v>
      </c>
      <c r="K109">
        <v>60</v>
      </c>
      <c r="L109" t="s">
        <v>22</v>
      </c>
    </row>
    <row r="110" spans="1:12" x14ac:dyDescent="0.25">
      <c r="G110" t="s">
        <v>134</v>
      </c>
      <c r="H110" t="s">
        <v>51</v>
      </c>
      <c r="I110">
        <v>29</v>
      </c>
      <c r="J110" t="s">
        <v>134</v>
      </c>
      <c r="K110">
        <v>60</v>
      </c>
      <c r="L110" t="s">
        <v>22</v>
      </c>
    </row>
    <row r="111" spans="1:12" x14ac:dyDescent="0.25">
      <c r="G111" t="s">
        <v>141</v>
      </c>
      <c r="H111" t="s">
        <v>51</v>
      </c>
      <c r="I111">
        <v>36</v>
      </c>
      <c r="J111" t="s">
        <v>141</v>
      </c>
      <c r="K111">
        <v>60</v>
      </c>
      <c r="L111" t="s">
        <v>22</v>
      </c>
    </row>
    <row r="112" spans="1:12" x14ac:dyDescent="0.25">
      <c r="G112" t="s">
        <v>145</v>
      </c>
      <c r="H112" t="s">
        <v>51</v>
      </c>
      <c r="I112">
        <v>40</v>
      </c>
      <c r="J112" t="s">
        <v>145</v>
      </c>
      <c r="K112">
        <v>60</v>
      </c>
      <c r="L112" t="s">
        <v>22</v>
      </c>
    </row>
    <row r="113" spans="7:12" x14ac:dyDescent="0.25">
      <c r="G113" t="s">
        <v>114</v>
      </c>
      <c r="H113" t="s">
        <v>52</v>
      </c>
      <c r="I113">
        <v>4</v>
      </c>
      <c r="J113" t="s">
        <v>114</v>
      </c>
      <c r="K113">
        <v>30</v>
      </c>
      <c r="L113" t="s">
        <v>22</v>
      </c>
    </row>
    <row r="114" spans="7:12" x14ac:dyDescent="0.25">
      <c r="G114" t="s">
        <v>108</v>
      </c>
      <c r="H114" t="s">
        <v>52</v>
      </c>
      <c r="I114">
        <v>5</v>
      </c>
      <c r="J114" t="s">
        <v>108</v>
      </c>
      <c r="K114">
        <v>30</v>
      </c>
      <c r="L114" t="s">
        <v>22</v>
      </c>
    </row>
    <row r="115" spans="7:12" x14ac:dyDescent="0.25">
      <c r="G115" t="s">
        <v>115</v>
      </c>
      <c r="H115" t="s">
        <v>52</v>
      </c>
      <c r="I115">
        <v>8</v>
      </c>
      <c r="J115" t="s">
        <v>115</v>
      </c>
      <c r="K115">
        <v>30</v>
      </c>
      <c r="L115" t="s">
        <v>22</v>
      </c>
    </row>
    <row r="116" spans="7:12" x14ac:dyDescent="0.25">
      <c r="G116" t="s">
        <v>117</v>
      </c>
      <c r="H116" t="s">
        <v>52</v>
      </c>
      <c r="I116">
        <v>10</v>
      </c>
      <c r="J116" t="s">
        <v>117</v>
      </c>
      <c r="K116">
        <v>60</v>
      </c>
      <c r="L116" t="s">
        <v>22</v>
      </c>
    </row>
    <row r="117" spans="7:12" x14ac:dyDescent="0.25">
      <c r="G117" t="s">
        <v>120</v>
      </c>
      <c r="H117" t="s">
        <v>52</v>
      </c>
      <c r="I117">
        <v>13</v>
      </c>
      <c r="J117" t="s">
        <v>120</v>
      </c>
      <c r="K117">
        <v>60</v>
      </c>
      <c r="L117" t="s">
        <v>22</v>
      </c>
    </row>
    <row r="118" spans="7:12" x14ac:dyDescent="0.25">
      <c r="G118" t="s">
        <v>121</v>
      </c>
      <c r="H118" t="s">
        <v>52</v>
      </c>
      <c r="I118">
        <v>14</v>
      </c>
      <c r="J118" t="s">
        <v>121</v>
      </c>
      <c r="K118">
        <v>60</v>
      </c>
      <c r="L118" t="s">
        <v>22</v>
      </c>
    </row>
    <row r="119" spans="7:12" x14ac:dyDescent="0.25">
      <c r="G119" t="s">
        <v>122</v>
      </c>
      <c r="H119" t="s">
        <v>52</v>
      </c>
      <c r="I119">
        <v>15</v>
      </c>
      <c r="J119" t="s">
        <v>122</v>
      </c>
      <c r="K119">
        <v>60</v>
      </c>
      <c r="L119" t="s">
        <v>22</v>
      </c>
    </row>
    <row r="120" spans="7:12" x14ac:dyDescent="0.25">
      <c r="G120" t="s">
        <v>111</v>
      </c>
      <c r="H120" t="s">
        <v>52</v>
      </c>
      <c r="I120">
        <v>16</v>
      </c>
      <c r="J120" t="s">
        <v>111</v>
      </c>
      <c r="K120">
        <v>30</v>
      </c>
      <c r="L120" t="s">
        <v>22</v>
      </c>
    </row>
    <row r="121" spans="7:12" x14ac:dyDescent="0.25">
      <c r="G121" t="s">
        <v>123</v>
      </c>
      <c r="H121" t="s">
        <v>52</v>
      </c>
      <c r="I121">
        <v>17</v>
      </c>
      <c r="J121" t="s">
        <v>123</v>
      </c>
      <c r="K121">
        <v>30</v>
      </c>
      <c r="L121" t="s">
        <v>22</v>
      </c>
    </row>
    <row r="122" spans="7:12" x14ac:dyDescent="0.25">
      <c r="G122" t="s">
        <v>125</v>
      </c>
      <c r="H122" t="s">
        <v>52</v>
      </c>
      <c r="I122">
        <v>19</v>
      </c>
      <c r="J122" t="s">
        <v>125</v>
      </c>
      <c r="K122">
        <v>60</v>
      </c>
      <c r="L122" t="s">
        <v>22</v>
      </c>
    </row>
    <row r="123" spans="7:12" x14ac:dyDescent="0.25">
      <c r="G123" t="s">
        <v>127</v>
      </c>
      <c r="H123" t="s">
        <v>52</v>
      </c>
      <c r="I123">
        <v>21</v>
      </c>
      <c r="J123" t="s">
        <v>127</v>
      </c>
      <c r="K123">
        <v>60</v>
      </c>
      <c r="L123" t="s">
        <v>22</v>
      </c>
    </row>
    <row r="124" spans="7:12" x14ac:dyDescent="0.25">
      <c r="G124" t="s">
        <v>112</v>
      </c>
      <c r="H124" t="s">
        <v>52</v>
      </c>
      <c r="I124">
        <v>23</v>
      </c>
      <c r="J124" t="s">
        <v>112</v>
      </c>
      <c r="K124">
        <v>60</v>
      </c>
      <c r="L124" t="s">
        <v>22</v>
      </c>
    </row>
    <row r="125" spans="7:12" x14ac:dyDescent="0.25">
      <c r="G125" t="s">
        <v>131</v>
      </c>
      <c r="H125" t="s">
        <v>52</v>
      </c>
      <c r="I125">
        <v>26</v>
      </c>
      <c r="J125" t="s">
        <v>131</v>
      </c>
      <c r="K125">
        <v>60</v>
      </c>
      <c r="L125" t="s">
        <v>22</v>
      </c>
    </row>
    <row r="126" spans="7:12" x14ac:dyDescent="0.25">
      <c r="G126" t="s">
        <v>133</v>
      </c>
      <c r="H126" t="s">
        <v>52</v>
      </c>
      <c r="I126">
        <v>28</v>
      </c>
      <c r="J126" t="s">
        <v>133</v>
      </c>
      <c r="K126">
        <v>60</v>
      </c>
      <c r="L126" t="s">
        <v>22</v>
      </c>
    </row>
    <row r="127" spans="7:12" x14ac:dyDescent="0.25">
      <c r="G127" t="s">
        <v>134</v>
      </c>
      <c r="H127" t="s">
        <v>52</v>
      </c>
      <c r="I127">
        <v>29</v>
      </c>
      <c r="J127" t="s">
        <v>134</v>
      </c>
      <c r="K127">
        <v>60</v>
      </c>
      <c r="L127" t="s">
        <v>22</v>
      </c>
    </row>
    <row r="128" spans="7:12" x14ac:dyDescent="0.25">
      <c r="G128" t="s">
        <v>135</v>
      </c>
      <c r="H128" t="s">
        <v>52</v>
      </c>
      <c r="I128">
        <v>30</v>
      </c>
      <c r="J128" t="s">
        <v>135</v>
      </c>
      <c r="K128">
        <v>60</v>
      </c>
      <c r="L128" t="s">
        <v>22</v>
      </c>
    </row>
    <row r="129" spans="7:12" x14ac:dyDescent="0.25">
      <c r="G129" t="s">
        <v>142</v>
      </c>
      <c r="H129" t="s">
        <v>52</v>
      </c>
      <c r="I129">
        <v>37</v>
      </c>
      <c r="J129" t="s">
        <v>142</v>
      </c>
      <c r="K129">
        <v>30</v>
      </c>
      <c r="L129" t="s">
        <v>22</v>
      </c>
    </row>
    <row r="130" spans="7:12" x14ac:dyDescent="0.25">
      <c r="G130" t="s">
        <v>144</v>
      </c>
      <c r="H130" t="s">
        <v>52</v>
      </c>
      <c r="I130">
        <v>39</v>
      </c>
      <c r="J130" t="s">
        <v>144</v>
      </c>
      <c r="K130">
        <v>60</v>
      </c>
      <c r="L130" t="s">
        <v>22</v>
      </c>
    </row>
    <row r="131" spans="7:12" x14ac:dyDescent="0.25">
      <c r="G131" t="s">
        <v>145</v>
      </c>
      <c r="H131" t="s">
        <v>52</v>
      </c>
      <c r="I131">
        <v>40</v>
      </c>
      <c r="J131" t="s">
        <v>145</v>
      </c>
      <c r="K131">
        <v>60</v>
      </c>
      <c r="L131" t="s">
        <v>22</v>
      </c>
    </row>
    <row r="132" spans="7:12" x14ac:dyDescent="0.25">
      <c r="G132" t="s">
        <v>154</v>
      </c>
      <c r="H132" t="s">
        <v>53</v>
      </c>
      <c r="I132">
        <v>3</v>
      </c>
      <c r="J132" t="s">
        <v>154</v>
      </c>
      <c r="K132">
        <v>30</v>
      </c>
      <c r="L132" t="s">
        <v>22</v>
      </c>
    </row>
    <row r="133" spans="7:12" x14ac:dyDescent="0.25">
      <c r="G133" t="s">
        <v>158</v>
      </c>
      <c r="H133" t="s">
        <v>53</v>
      </c>
      <c r="I133">
        <v>4</v>
      </c>
      <c r="J133" t="s">
        <v>158</v>
      </c>
      <c r="K133">
        <v>30</v>
      </c>
      <c r="L133" t="s">
        <v>22</v>
      </c>
    </row>
    <row r="134" spans="7:12" x14ac:dyDescent="0.25">
      <c r="G134" t="s">
        <v>159</v>
      </c>
      <c r="H134" t="s">
        <v>53</v>
      </c>
      <c r="I134">
        <v>5</v>
      </c>
      <c r="J134" t="s">
        <v>159</v>
      </c>
      <c r="K134">
        <v>30</v>
      </c>
      <c r="L134" t="s">
        <v>22</v>
      </c>
    </row>
    <row r="135" spans="7:12" x14ac:dyDescent="0.25">
      <c r="G135" t="s">
        <v>160</v>
      </c>
      <c r="H135" t="s">
        <v>53</v>
      </c>
      <c r="I135">
        <v>6</v>
      </c>
      <c r="J135" t="s">
        <v>160</v>
      </c>
      <c r="K135">
        <v>30</v>
      </c>
      <c r="L135" t="s">
        <v>22</v>
      </c>
    </row>
    <row r="136" spans="7:12" x14ac:dyDescent="0.25">
      <c r="G136" t="s">
        <v>161</v>
      </c>
      <c r="H136" t="s">
        <v>53</v>
      </c>
      <c r="I136">
        <v>7</v>
      </c>
      <c r="J136" t="s">
        <v>161</v>
      </c>
      <c r="K136">
        <v>30</v>
      </c>
      <c r="L136" t="s">
        <v>22</v>
      </c>
    </row>
    <row r="137" spans="7:12" x14ac:dyDescent="0.25">
      <c r="G137" t="s">
        <v>162</v>
      </c>
      <c r="H137" t="s">
        <v>53</v>
      </c>
      <c r="I137">
        <v>8</v>
      </c>
      <c r="J137" t="s">
        <v>162</v>
      </c>
      <c r="K137">
        <v>30</v>
      </c>
      <c r="L137" t="s">
        <v>22</v>
      </c>
    </row>
    <row r="138" spans="7:12" x14ac:dyDescent="0.25">
      <c r="G138" t="s">
        <v>163</v>
      </c>
      <c r="H138" t="s">
        <v>53</v>
      </c>
      <c r="I138">
        <v>10</v>
      </c>
      <c r="J138" t="s">
        <v>163</v>
      </c>
      <c r="K138">
        <v>30</v>
      </c>
      <c r="L138" t="s">
        <v>22</v>
      </c>
    </row>
    <row r="139" spans="7:12" x14ac:dyDescent="0.25">
      <c r="G139" t="s">
        <v>164</v>
      </c>
      <c r="H139" t="s">
        <v>53</v>
      </c>
      <c r="I139">
        <v>11</v>
      </c>
      <c r="J139" t="s">
        <v>164</v>
      </c>
      <c r="K139">
        <v>30</v>
      </c>
      <c r="L139" t="s">
        <v>22</v>
      </c>
    </row>
    <row r="140" spans="7:12" x14ac:dyDescent="0.25">
      <c r="G140" t="s">
        <v>165</v>
      </c>
      <c r="H140" t="s">
        <v>53</v>
      </c>
      <c r="I140">
        <v>12</v>
      </c>
      <c r="J140" t="s">
        <v>165</v>
      </c>
      <c r="K140">
        <v>30</v>
      </c>
      <c r="L140" t="s">
        <v>22</v>
      </c>
    </row>
    <row r="141" spans="7:12" x14ac:dyDescent="0.25">
      <c r="G141" t="s">
        <v>166</v>
      </c>
      <c r="H141" t="s">
        <v>53</v>
      </c>
      <c r="I141">
        <v>13</v>
      </c>
      <c r="J141" t="s">
        <v>166</v>
      </c>
      <c r="K141">
        <v>30</v>
      </c>
      <c r="L141" t="s">
        <v>22</v>
      </c>
    </row>
    <row r="142" spans="7:12" x14ac:dyDescent="0.25">
      <c r="G142" t="s">
        <v>167</v>
      </c>
      <c r="H142" t="s">
        <v>53</v>
      </c>
      <c r="I142">
        <v>14</v>
      </c>
      <c r="J142" t="s">
        <v>167</v>
      </c>
      <c r="K142">
        <v>60</v>
      </c>
      <c r="L142" t="s">
        <v>22</v>
      </c>
    </row>
    <row r="143" spans="7:12" x14ac:dyDescent="0.25">
      <c r="G143" t="s">
        <v>168</v>
      </c>
      <c r="H143" t="s">
        <v>53</v>
      </c>
      <c r="I143">
        <v>15</v>
      </c>
      <c r="J143" t="s">
        <v>168</v>
      </c>
      <c r="K143">
        <v>30</v>
      </c>
      <c r="L143" t="s">
        <v>22</v>
      </c>
    </row>
    <row r="144" spans="7:12" x14ac:dyDescent="0.25">
      <c r="G144" t="s">
        <v>169</v>
      </c>
      <c r="H144" t="s">
        <v>53</v>
      </c>
      <c r="I144">
        <v>16</v>
      </c>
      <c r="J144" t="s">
        <v>169</v>
      </c>
      <c r="K144">
        <v>30</v>
      </c>
      <c r="L144" t="s">
        <v>22</v>
      </c>
    </row>
    <row r="145" spans="7:12" x14ac:dyDescent="0.25">
      <c r="G145" t="s">
        <v>170</v>
      </c>
      <c r="H145" t="s">
        <v>53</v>
      </c>
      <c r="I145">
        <v>17</v>
      </c>
      <c r="J145" t="s">
        <v>170</v>
      </c>
      <c r="K145">
        <v>30</v>
      </c>
      <c r="L145" t="s">
        <v>22</v>
      </c>
    </row>
    <row r="146" spans="7:12" x14ac:dyDescent="0.25">
      <c r="G146" t="s">
        <v>156</v>
      </c>
      <c r="H146" t="s">
        <v>53</v>
      </c>
      <c r="I146">
        <v>18</v>
      </c>
      <c r="J146" t="s">
        <v>156</v>
      </c>
      <c r="K146">
        <v>60</v>
      </c>
      <c r="L146" t="s">
        <v>22</v>
      </c>
    </row>
    <row r="147" spans="7:12" x14ac:dyDescent="0.25">
      <c r="G147" t="s">
        <v>157</v>
      </c>
      <c r="H147" t="s">
        <v>53</v>
      </c>
      <c r="I147">
        <v>19</v>
      </c>
      <c r="J147" t="s">
        <v>157</v>
      </c>
      <c r="K147">
        <v>60</v>
      </c>
      <c r="L147" t="s">
        <v>22</v>
      </c>
    </row>
    <row r="148" spans="7:12" x14ac:dyDescent="0.25">
      <c r="G148" t="s">
        <v>171</v>
      </c>
      <c r="H148" t="s">
        <v>53</v>
      </c>
      <c r="I148">
        <v>20</v>
      </c>
      <c r="J148" t="s">
        <v>171</v>
      </c>
      <c r="K148">
        <v>60</v>
      </c>
      <c r="L148" t="s">
        <v>22</v>
      </c>
    </row>
    <row r="149" spans="7:12" x14ac:dyDescent="0.25">
      <c r="G149" t="s">
        <v>172</v>
      </c>
      <c r="H149" t="s">
        <v>53</v>
      </c>
      <c r="I149">
        <v>21</v>
      </c>
      <c r="J149" t="s">
        <v>172</v>
      </c>
      <c r="K149">
        <v>60</v>
      </c>
      <c r="L149" t="s">
        <v>22</v>
      </c>
    </row>
    <row r="150" spans="7:12" x14ac:dyDescent="0.25">
      <c r="G150" t="s">
        <v>173</v>
      </c>
      <c r="H150" t="s">
        <v>53</v>
      </c>
      <c r="I150">
        <v>22</v>
      </c>
      <c r="J150" t="s">
        <v>173</v>
      </c>
      <c r="K150">
        <v>60</v>
      </c>
      <c r="L150" t="s">
        <v>22</v>
      </c>
    </row>
    <row r="151" spans="7:12" x14ac:dyDescent="0.25">
      <c r="G151" t="s">
        <v>174</v>
      </c>
      <c r="H151" t="s">
        <v>53</v>
      </c>
      <c r="I151">
        <v>23</v>
      </c>
      <c r="J151" t="s">
        <v>174</v>
      </c>
      <c r="K151">
        <v>60</v>
      </c>
      <c r="L151" t="s">
        <v>22</v>
      </c>
    </row>
    <row r="152" spans="7:12" x14ac:dyDescent="0.25">
      <c r="G152" t="s">
        <v>175</v>
      </c>
      <c r="H152" t="s">
        <v>53</v>
      </c>
      <c r="I152">
        <v>24</v>
      </c>
      <c r="J152" t="s">
        <v>175</v>
      </c>
      <c r="K152">
        <v>60</v>
      </c>
      <c r="L152" t="s">
        <v>22</v>
      </c>
    </row>
    <row r="153" spans="7:12" x14ac:dyDescent="0.25">
      <c r="G153" t="s">
        <v>176</v>
      </c>
      <c r="H153" t="s">
        <v>53</v>
      </c>
      <c r="I153">
        <v>25</v>
      </c>
      <c r="J153" t="s">
        <v>176</v>
      </c>
      <c r="K153">
        <v>60</v>
      </c>
      <c r="L153" t="s">
        <v>22</v>
      </c>
    </row>
    <row r="154" spans="7:12" x14ac:dyDescent="0.25">
      <c r="G154" t="s">
        <v>177</v>
      </c>
      <c r="H154" t="s">
        <v>53</v>
      </c>
      <c r="I154">
        <v>26</v>
      </c>
      <c r="J154" t="s">
        <v>177</v>
      </c>
      <c r="K154">
        <v>60</v>
      </c>
      <c r="L154" t="s">
        <v>22</v>
      </c>
    </row>
    <row r="155" spans="7:12" x14ac:dyDescent="0.25">
      <c r="G155" t="s">
        <v>178</v>
      </c>
      <c r="H155" t="s">
        <v>53</v>
      </c>
      <c r="I155">
        <v>27</v>
      </c>
      <c r="J155" t="s">
        <v>178</v>
      </c>
      <c r="K155">
        <v>60</v>
      </c>
      <c r="L155" t="s">
        <v>22</v>
      </c>
    </row>
    <row r="156" spans="7:12" x14ac:dyDescent="0.25">
      <c r="G156" t="s">
        <v>179</v>
      </c>
      <c r="H156" t="s">
        <v>53</v>
      </c>
      <c r="I156">
        <v>28</v>
      </c>
      <c r="J156" t="s">
        <v>179</v>
      </c>
      <c r="K156">
        <v>60</v>
      </c>
      <c r="L156" t="s">
        <v>22</v>
      </c>
    </row>
    <row r="157" spans="7:12" x14ac:dyDescent="0.25">
      <c r="G157" t="s">
        <v>180</v>
      </c>
      <c r="H157" t="s">
        <v>53</v>
      </c>
      <c r="I157">
        <v>29</v>
      </c>
      <c r="J157" t="s">
        <v>180</v>
      </c>
      <c r="K157">
        <v>60</v>
      </c>
      <c r="L157" t="s">
        <v>22</v>
      </c>
    </row>
    <row r="158" spans="7:12" x14ac:dyDescent="0.25">
      <c r="G158" t="s">
        <v>181</v>
      </c>
      <c r="H158" t="s">
        <v>53</v>
      </c>
      <c r="I158">
        <v>30</v>
      </c>
      <c r="J158" t="s">
        <v>181</v>
      </c>
      <c r="K158">
        <v>30</v>
      </c>
      <c r="L158" t="s">
        <v>22</v>
      </c>
    </row>
    <row r="159" spans="7:12" x14ac:dyDescent="0.25">
      <c r="G159" t="s">
        <v>182</v>
      </c>
      <c r="H159" t="s">
        <v>53</v>
      </c>
      <c r="I159">
        <v>31</v>
      </c>
      <c r="J159" t="s">
        <v>182</v>
      </c>
      <c r="K159">
        <v>30</v>
      </c>
      <c r="L159" t="s">
        <v>22</v>
      </c>
    </row>
    <row r="160" spans="7:12" x14ac:dyDescent="0.25">
      <c r="G160" t="s">
        <v>183</v>
      </c>
      <c r="H160" t="s">
        <v>53</v>
      </c>
      <c r="I160">
        <v>32</v>
      </c>
      <c r="J160" t="s">
        <v>183</v>
      </c>
      <c r="K160">
        <v>30</v>
      </c>
      <c r="L160" t="s">
        <v>22</v>
      </c>
    </row>
    <row r="161" spans="7:12" x14ac:dyDescent="0.25">
      <c r="G161" t="s">
        <v>187</v>
      </c>
      <c r="H161" t="s">
        <v>58</v>
      </c>
      <c r="I161">
        <v>4</v>
      </c>
      <c r="J161" t="s">
        <v>187</v>
      </c>
      <c r="K161">
        <v>30</v>
      </c>
      <c r="L161" t="s">
        <v>22</v>
      </c>
    </row>
    <row r="162" spans="7:12" x14ac:dyDescent="0.25">
      <c r="G162" t="s">
        <v>190</v>
      </c>
      <c r="H162" t="s">
        <v>58</v>
      </c>
      <c r="I162">
        <v>5</v>
      </c>
      <c r="J162" t="s">
        <v>190</v>
      </c>
      <c r="K162">
        <v>30</v>
      </c>
      <c r="L162" t="s">
        <v>22</v>
      </c>
    </row>
    <row r="163" spans="7:12" x14ac:dyDescent="0.25">
      <c r="G163" t="s">
        <v>191</v>
      </c>
      <c r="H163" t="s">
        <v>58</v>
      </c>
      <c r="I163">
        <v>6</v>
      </c>
      <c r="J163" t="s">
        <v>191</v>
      </c>
      <c r="K163">
        <v>30</v>
      </c>
      <c r="L163" t="s">
        <v>22</v>
      </c>
    </row>
    <row r="164" spans="7:12" x14ac:dyDescent="0.25">
      <c r="G164" t="s">
        <v>192</v>
      </c>
      <c r="H164" t="s">
        <v>58</v>
      </c>
      <c r="I164">
        <v>7</v>
      </c>
      <c r="J164" t="s">
        <v>192</v>
      </c>
      <c r="K164">
        <v>30</v>
      </c>
      <c r="L164" t="s">
        <v>22</v>
      </c>
    </row>
    <row r="165" spans="7:12" x14ac:dyDescent="0.25">
      <c r="G165" t="s">
        <v>193</v>
      </c>
      <c r="H165" t="s">
        <v>58</v>
      </c>
      <c r="I165">
        <v>8</v>
      </c>
      <c r="J165" t="s">
        <v>193</v>
      </c>
      <c r="K165">
        <v>30</v>
      </c>
      <c r="L165" t="s">
        <v>22</v>
      </c>
    </row>
    <row r="166" spans="7:12" x14ac:dyDescent="0.25">
      <c r="G166" t="s">
        <v>194</v>
      </c>
      <c r="H166" t="s">
        <v>58</v>
      </c>
      <c r="I166">
        <v>9</v>
      </c>
      <c r="J166" t="s">
        <v>194</v>
      </c>
      <c r="K166">
        <v>30</v>
      </c>
      <c r="L166" t="s">
        <v>22</v>
      </c>
    </row>
    <row r="167" spans="7:12" x14ac:dyDescent="0.25">
      <c r="G167" t="s">
        <v>195</v>
      </c>
      <c r="H167" t="s">
        <v>58</v>
      </c>
      <c r="I167">
        <v>10</v>
      </c>
      <c r="J167" t="s">
        <v>195</v>
      </c>
      <c r="K167">
        <v>30</v>
      </c>
      <c r="L167" t="s">
        <v>22</v>
      </c>
    </row>
    <row r="168" spans="7:12" x14ac:dyDescent="0.25">
      <c r="G168" t="s">
        <v>188</v>
      </c>
      <c r="H168" t="s">
        <v>58</v>
      </c>
      <c r="I168">
        <v>12</v>
      </c>
      <c r="J168" t="s">
        <v>188</v>
      </c>
      <c r="K168">
        <v>30</v>
      </c>
      <c r="L168" t="s">
        <v>22</v>
      </c>
    </row>
    <row r="169" spans="7:12" x14ac:dyDescent="0.25">
      <c r="G169" t="s">
        <v>196</v>
      </c>
      <c r="H169" t="s">
        <v>58</v>
      </c>
      <c r="I169">
        <v>13</v>
      </c>
      <c r="J169" t="s">
        <v>196</v>
      </c>
      <c r="K169">
        <v>30</v>
      </c>
      <c r="L169" t="s">
        <v>22</v>
      </c>
    </row>
    <row r="170" spans="7:12" x14ac:dyDescent="0.25">
      <c r="G170" t="s">
        <v>197</v>
      </c>
      <c r="H170" t="s">
        <v>58</v>
      </c>
      <c r="I170">
        <v>14</v>
      </c>
      <c r="J170" t="s">
        <v>197</v>
      </c>
      <c r="K170">
        <v>30</v>
      </c>
      <c r="L170" t="s">
        <v>22</v>
      </c>
    </row>
    <row r="171" spans="7:12" x14ac:dyDescent="0.25">
      <c r="G171" t="s">
        <v>198</v>
      </c>
      <c r="H171" t="s">
        <v>58</v>
      </c>
      <c r="I171">
        <v>15</v>
      </c>
      <c r="J171" t="s">
        <v>198</v>
      </c>
      <c r="K171">
        <v>30</v>
      </c>
      <c r="L171" t="s">
        <v>22</v>
      </c>
    </row>
    <row r="172" spans="7:12" x14ac:dyDescent="0.25">
      <c r="G172" t="s">
        <v>199</v>
      </c>
      <c r="H172" t="s">
        <v>58</v>
      </c>
      <c r="I172">
        <v>16</v>
      </c>
      <c r="J172" t="s">
        <v>199</v>
      </c>
      <c r="K172">
        <v>60</v>
      </c>
      <c r="L172" t="s">
        <v>22</v>
      </c>
    </row>
    <row r="173" spans="7:12" x14ac:dyDescent="0.25">
      <c r="G173" t="s">
        <v>200</v>
      </c>
      <c r="H173" t="s">
        <v>58</v>
      </c>
      <c r="I173">
        <v>17</v>
      </c>
      <c r="J173" t="s">
        <v>200</v>
      </c>
      <c r="K173">
        <v>60</v>
      </c>
      <c r="L173" t="s">
        <v>22</v>
      </c>
    </row>
    <row r="174" spans="7:12" x14ac:dyDescent="0.25">
      <c r="G174" t="s">
        <v>201</v>
      </c>
      <c r="H174" t="s">
        <v>58</v>
      </c>
      <c r="I174">
        <v>18</v>
      </c>
      <c r="J174" t="s">
        <v>201</v>
      </c>
      <c r="K174">
        <v>60</v>
      </c>
      <c r="L174" t="s">
        <v>22</v>
      </c>
    </row>
    <row r="175" spans="7:12" x14ac:dyDescent="0.25">
      <c r="G175" t="s">
        <v>202</v>
      </c>
      <c r="H175" t="s">
        <v>58</v>
      </c>
      <c r="I175">
        <v>19</v>
      </c>
      <c r="J175" t="s">
        <v>202</v>
      </c>
      <c r="K175">
        <v>30</v>
      </c>
      <c r="L175" t="s">
        <v>22</v>
      </c>
    </row>
    <row r="176" spans="7:12" x14ac:dyDescent="0.25">
      <c r="G176" t="s">
        <v>203</v>
      </c>
      <c r="H176" t="s">
        <v>58</v>
      </c>
      <c r="I176">
        <v>20</v>
      </c>
      <c r="J176" t="s">
        <v>203</v>
      </c>
      <c r="K176">
        <v>30</v>
      </c>
      <c r="L176" t="s">
        <v>22</v>
      </c>
    </row>
    <row r="177" spans="7:12" x14ac:dyDescent="0.25">
      <c r="G177" t="s">
        <v>204</v>
      </c>
      <c r="H177" t="s">
        <v>58</v>
      </c>
      <c r="I177">
        <v>22</v>
      </c>
      <c r="J177" t="s">
        <v>204</v>
      </c>
      <c r="K177">
        <v>60</v>
      </c>
      <c r="L177" t="s">
        <v>22</v>
      </c>
    </row>
    <row r="178" spans="7:12" x14ac:dyDescent="0.25">
      <c r="G178" t="s">
        <v>205</v>
      </c>
      <c r="H178" t="s">
        <v>58</v>
      </c>
      <c r="I178">
        <v>23</v>
      </c>
      <c r="J178" t="s">
        <v>205</v>
      </c>
      <c r="K178">
        <v>60</v>
      </c>
      <c r="L178" t="s">
        <v>22</v>
      </c>
    </row>
    <row r="179" spans="7:12" x14ac:dyDescent="0.25">
      <c r="G179" t="s">
        <v>206</v>
      </c>
      <c r="H179" t="s">
        <v>58</v>
      </c>
      <c r="I179">
        <v>24</v>
      </c>
      <c r="J179" t="s">
        <v>206</v>
      </c>
      <c r="K179">
        <v>60</v>
      </c>
      <c r="L179" t="s">
        <v>22</v>
      </c>
    </row>
    <row r="180" spans="7:12" x14ac:dyDescent="0.25">
      <c r="G180" t="s">
        <v>207</v>
      </c>
      <c r="H180" t="s">
        <v>58</v>
      </c>
      <c r="I180">
        <v>25</v>
      </c>
      <c r="J180" t="s">
        <v>207</v>
      </c>
      <c r="K180">
        <v>60</v>
      </c>
      <c r="L180" t="s">
        <v>22</v>
      </c>
    </row>
    <row r="181" spans="7:12" x14ac:dyDescent="0.25">
      <c r="G181" t="s">
        <v>208</v>
      </c>
      <c r="H181" t="s">
        <v>58</v>
      </c>
      <c r="I181">
        <v>26</v>
      </c>
      <c r="J181" t="s">
        <v>208</v>
      </c>
      <c r="K181">
        <v>60</v>
      </c>
      <c r="L181" t="s">
        <v>22</v>
      </c>
    </row>
    <row r="182" spans="7:12" x14ac:dyDescent="0.25">
      <c r="G182" t="s">
        <v>236</v>
      </c>
      <c r="H182" t="s">
        <v>60</v>
      </c>
      <c r="I182">
        <v>3</v>
      </c>
      <c r="J182" t="s">
        <v>236</v>
      </c>
      <c r="K182">
        <v>30</v>
      </c>
      <c r="L182" t="s">
        <v>22</v>
      </c>
    </row>
    <row r="183" spans="7:12" x14ac:dyDescent="0.25">
      <c r="G183" t="s">
        <v>66</v>
      </c>
      <c r="H183" t="s">
        <v>60</v>
      </c>
      <c r="I183">
        <v>4</v>
      </c>
      <c r="J183" t="s">
        <v>66</v>
      </c>
      <c r="K183">
        <v>30</v>
      </c>
      <c r="L183" t="s">
        <v>22</v>
      </c>
    </row>
    <row r="184" spans="7:12" x14ac:dyDescent="0.25">
      <c r="G184" t="s">
        <v>237</v>
      </c>
      <c r="H184" t="s">
        <v>60</v>
      </c>
      <c r="I184">
        <v>5</v>
      </c>
      <c r="J184" t="s">
        <v>237</v>
      </c>
      <c r="K184">
        <v>30</v>
      </c>
      <c r="L184" t="s">
        <v>22</v>
      </c>
    </row>
    <row r="185" spans="7:12" x14ac:dyDescent="0.25">
      <c r="G185" t="s">
        <v>247</v>
      </c>
      <c r="H185" t="s">
        <v>60</v>
      </c>
      <c r="I185">
        <v>6</v>
      </c>
      <c r="J185" t="s">
        <v>247</v>
      </c>
      <c r="K185">
        <v>30</v>
      </c>
      <c r="L185" t="s">
        <v>22</v>
      </c>
    </row>
    <row r="186" spans="7:12" x14ac:dyDescent="0.25">
      <c r="G186" t="s">
        <v>241</v>
      </c>
      <c r="H186" t="s">
        <v>60</v>
      </c>
      <c r="I186">
        <v>7</v>
      </c>
      <c r="J186" t="s">
        <v>241</v>
      </c>
      <c r="K186">
        <v>60</v>
      </c>
      <c r="L186" t="s">
        <v>22</v>
      </c>
    </row>
    <row r="187" spans="7:12" x14ac:dyDescent="0.25">
      <c r="G187" t="s">
        <v>242</v>
      </c>
      <c r="H187" t="s">
        <v>60</v>
      </c>
      <c r="I187">
        <v>8</v>
      </c>
      <c r="J187" t="s">
        <v>242</v>
      </c>
      <c r="K187">
        <v>60</v>
      </c>
      <c r="L187" t="s">
        <v>22</v>
      </c>
    </row>
    <row r="188" spans="7:12" x14ac:dyDescent="0.25">
      <c r="G188" t="s">
        <v>248</v>
      </c>
      <c r="H188" t="s">
        <v>60</v>
      </c>
      <c r="I188">
        <v>11</v>
      </c>
      <c r="J188" t="s">
        <v>248</v>
      </c>
      <c r="K188">
        <v>30</v>
      </c>
      <c r="L188" t="s">
        <v>22</v>
      </c>
    </row>
    <row r="189" spans="7:12" x14ac:dyDescent="0.25">
      <c r="G189" t="s">
        <v>243</v>
      </c>
      <c r="H189" t="s">
        <v>60</v>
      </c>
      <c r="I189">
        <v>12</v>
      </c>
      <c r="J189" t="s">
        <v>243</v>
      </c>
      <c r="K189">
        <v>60</v>
      </c>
      <c r="L189" t="s">
        <v>22</v>
      </c>
    </row>
    <row r="190" spans="7:12" x14ac:dyDescent="0.25">
      <c r="G190" t="s">
        <v>249</v>
      </c>
      <c r="H190" t="s">
        <v>60</v>
      </c>
      <c r="I190">
        <v>13</v>
      </c>
      <c r="J190" t="s">
        <v>249</v>
      </c>
      <c r="K190">
        <v>30</v>
      </c>
      <c r="L190" t="s">
        <v>22</v>
      </c>
    </row>
    <row r="191" spans="7:12" x14ac:dyDescent="0.25">
      <c r="G191" t="s">
        <v>250</v>
      </c>
      <c r="H191" t="s">
        <v>60</v>
      </c>
      <c r="I191">
        <v>14</v>
      </c>
      <c r="J191" t="s">
        <v>250</v>
      </c>
      <c r="K191">
        <v>30</v>
      </c>
      <c r="L191" t="s">
        <v>22</v>
      </c>
    </row>
    <row r="192" spans="7:12" x14ac:dyDescent="0.25">
      <c r="G192" t="s">
        <v>244</v>
      </c>
      <c r="H192" t="s">
        <v>60</v>
      </c>
      <c r="I192">
        <v>15</v>
      </c>
      <c r="J192" t="s">
        <v>244</v>
      </c>
      <c r="K192">
        <v>60</v>
      </c>
      <c r="L192" t="s">
        <v>22</v>
      </c>
    </row>
    <row r="193" spans="7:12" x14ac:dyDescent="0.25">
      <c r="G193" t="s">
        <v>251</v>
      </c>
      <c r="H193" t="s">
        <v>60</v>
      </c>
      <c r="I193">
        <v>16</v>
      </c>
      <c r="J193" t="s">
        <v>251</v>
      </c>
      <c r="K193">
        <v>30</v>
      </c>
      <c r="L193" t="s">
        <v>22</v>
      </c>
    </row>
    <row r="194" spans="7:12" x14ac:dyDescent="0.25">
      <c r="G194" t="s">
        <v>252</v>
      </c>
      <c r="H194" t="s">
        <v>60</v>
      </c>
      <c r="I194">
        <v>17</v>
      </c>
      <c r="J194" t="s">
        <v>252</v>
      </c>
      <c r="K194">
        <v>60</v>
      </c>
      <c r="L194" t="s">
        <v>22</v>
      </c>
    </row>
    <row r="195" spans="7:12" x14ac:dyDescent="0.25">
      <c r="G195" t="s">
        <v>245</v>
      </c>
      <c r="H195" t="s">
        <v>60</v>
      </c>
      <c r="I195">
        <v>18</v>
      </c>
      <c r="J195" t="s">
        <v>245</v>
      </c>
      <c r="K195">
        <v>60</v>
      </c>
      <c r="L195" t="s">
        <v>22</v>
      </c>
    </row>
    <row r="196" spans="7:12" x14ac:dyDescent="0.25">
      <c r="G196" t="s">
        <v>253</v>
      </c>
      <c r="H196" t="s">
        <v>60</v>
      </c>
      <c r="I196">
        <v>19</v>
      </c>
      <c r="J196" t="s">
        <v>253</v>
      </c>
      <c r="K196">
        <v>30</v>
      </c>
      <c r="L196" t="s">
        <v>22</v>
      </c>
    </row>
    <row r="197" spans="7:12" x14ac:dyDescent="0.25">
      <c r="G197" t="s">
        <v>254</v>
      </c>
      <c r="H197" t="s">
        <v>60</v>
      </c>
      <c r="I197">
        <v>20</v>
      </c>
      <c r="J197" t="s">
        <v>254</v>
      </c>
      <c r="K197">
        <v>60</v>
      </c>
      <c r="L197" t="s">
        <v>22</v>
      </c>
    </row>
    <row r="198" spans="7:12" x14ac:dyDescent="0.25">
      <c r="G198" t="s">
        <v>294</v>
      </c>
      <c r="H198" t="s">
        <v>64</v>
      </c>
      <c r="I198">
        <v>4</v>
      </c>
      <c r="J198" t="s">
        <v>294</v>
      </c>
      <c r="K198">
        <v>30</v>
      </c>
      <c r="L198" t="s">
        <v>22</v>
      </c>
    </row>
    <row r="199" spans="7:12" x14ac:dyDescent="0.25">
      <c r="G199" t="s">
        <v>295</v>
      </c>
      <c r="H199" t="s">
        <v>64</v>
      </c>
      <c r="I199">
        <v>5</v>
      </c>
      <c r="J199" t="s">
        <v>295</v>
      </c>
      <c r="K199">
        <v>30</v>
      </c>
      <c r="L199" t="s">
        <v>22</v>
      </c>
    </row>
    <row r="200" spans="7:12" x14ac:dyDescent="0.25">
      <c r="G200" t="s">
        <v>296</v>
      </c>
      <c r="H200" t="s">
        <v>64</v>
      </c>
      <c r="I200">
        <v>6</v>
      </c>
      <c r="J200" t="s">
        <v>296</v>
      </c>
      <c r="K200">
        <v>30</v>
      </c>
      <c r="L200" t="s">
        <v>22</v>
      </c>
    </row>
    <row r="201" spans="7:12" x14ac:dyDescent="0.25">
      <c r="G201" t="s">
        <v>282</v>
      </c>
      <c r="H201" t="s">
        <v>64</v>
      </c>
      <c r="I201">
        <v>7</v>
      </c>
      <c r="J201" t="s">
        <v>282</v>
      </c>
      <c r="K201">
        <v>30</v>
      </c>
      <c r="L201" t="s">
        <v>22</v>
      </c>
    </row>
    <row r="202" spans="7:12" x14ac:dyDescent="0.25">
      <c r="G202" t="s">
        <v>283</v>
      </c>
      <c r="H202" t="s">
        <v>64</v>
      </c>
      <c r="I202">
        <v>8</v>
      </c>
      <c r="J202" t="s">
        <v>283</v>
      </c>
      <c r="K202">
        <v>30</v>
      </c>
      <c r="L202" t="s">
        <v>22</v>
      </c>
    </row>
    <row r="203" spans="7:12" x14ac:dyDescent="0.25">
      <c r="G203" t="s">
        <v>286</v>
      </c>
      <c r="H203" t="s">
        <v>64</v>
      </c>
      <c r="I203">
        <v>10</v>
      </c>
      <c r="J203" t="s">
        <v>286</v>
      </c>
      <c r="K203">
        <v>60</v>
      </c>
      <c r="L203" t="s">
        <v>22</v>
      </c>
    </row>
    <row r="204" spans="7:12" x14ac:dyDescent="0.25">
      <c r="G204" t="s">
        <v>297</v>
      </c>
      <c r="H204" t="s">
        <v>64</v>
      </c>
      <c r="I204">
        <v>11</v>
      </c>
      <c r="J204" t="s">
        <v>297</v>
      </c>
      <c r="K204">
        <v>30</v>
      </c>
      <c r="L204" t="s">
        <v>22</v>
      </c>
    </row>
    <row r="205" spans="7:12" x14ac:dyDescent="0.25">
      <c r="G205" t="s">
        <v>287</v>
      </c>
      <c r="H205" t="s">
        <v>64</v>
      </c>
      <c r="I205">
        <v>12</v>
      </c>
      <c r="J205" t="s">
        <v>287</v>
      </c>
      <c r="K205">
        <v>60</v>
      </c>
      <c r="L205" t="s">
        <v>22</v>
      </c>
    </row>
    <row r="206" spans="7:12" x14ac:dyDescent="0.25">
      <c r="G206" t="s">
        <v>519</v>
      </c>
      <c r="H206" t="s">
        <v>64</v>
      </c>
      <c r="I206">
        <v>13</v>
      </c>
      <c r="J206" t="s">
        <v>519</v>
      </c>
      <c r="K206">
        <v>30</v>
      </c>
      <c r="L206" t="s">
        <v>22</v>
      </c>
    </row>
    <row r="207" spans="7:12" x14ac:dyDescent="0.25">
      <c r="G207" t="s">
        <v>520</v>
      </c>
      <c r="H207" t="s">
        <v>64</v>
      </c>
      <c r="I207">
        <v>14</v>
      </c>
      <c r="J207" t="s">
        <v>520</v>
      </c>
      <c r="K207">
        <v>30</v>
      </c>
      <c r="L207" t="s">
        <v>22</v>
      </c>
    </row>
    <row r="208" spans="7:12" x14ac:dyDescent="0.25">
      <c r="G208" t="s">
        <v>285</v>
      </c>
      <c r="H208" t="s">
        <v>64</v>
      </c>
      <c r="I208">
        <v>15</v>
      </c>
      <c r="J208" t="s">
        <v>285</v>
      </c>
      <c r="K208">
        <v>60</v>
      </c>
      <c r="L208" t="s">
        <v>22</v>
      </c>
    </row>
    <row r="209" spans="7:12" x14ac:dyDescent="0.25">
      <c r="G209" t="s">
        <v>288</v>
      </c>
      <c r="H209" t="s">
        <v>64</v>
      </c>
      <c r="I209">
        <v>16</v>
      </c>
      <c r="J209" t="s">
        <v>288</v>
      </c>
      <c r="K209">
        <v>60</v>
      </c>
      <c r="L209" t="s">
        <v>22</v>
      </c>
    </row>
    <row r="210" spans="7:12" x14ac:dyDescent="0.25">
      <c r="G210" t="s">
        <v>290</v>
      </c>
      <c r="H210" t="s">
        <v>64</v>
      </c>
      <c r="I210">
        <v>18</v>
      </c>
      <c r="J210" t="s">
        <v>290</v>
      </c>
      <c r="K210">
        <v>60</v>
      </c>
      <c r="L210" t="s">
        <v>22</v>
      </c>
    </row>
    <row r="211" spans="7:12" x14ac:dyDescent="0.25">
      <c r="G211" t="s">
        <v>298</v>
      </c>
      <c r="H211" t="s">
        <v>64</v>
      </c>
      <c r="I211">
        <v>22</v>
      </c>
      <c r="J211" t="s">
        <v>298</v>
      </c>
      <c r="K211">
        <v>30</v>
      </c>
      <c r="L211" t="s">
        <v>22</v>
      </c>
    </row>
    <row r="212" spans="7:12" x14ac:dyDescent="0.25">
      <c r="G212" t="s">
        <v>299</v>
      </c>
      <c r="H212" t="s">
        <v>64</v>
      </c>
      <c r="I212">
        <v>23</v>
      </c>
      <c r="J212" t="s">
        <v>299</v>
      </c>
      <c r="K212">
        <v>30</v>
      </c>
      <c r="L212" t="s">
        <v>22</v>
      </c>
    </row>
    <row r="213" spans="7:12" x14ac:dyDescent="0.25">
      <c r="G213" t="s">
        <v>300</v>
      </c>
      <c r="H213" t="s">
        <v>64</v>
      </c>
      <c r="I213">
        <v>24</v>
      </c>
      <c r="J213" t="s">
        <v>300</v>
      </c>
      <c r="K213">
        <v>30</v>
      </c>
      <c r="L213" t="s">
        <v>22</v>
      </c>
    </row>
    <row r="214" spans="7:12" x14ac:dyDescent="0.25">
      <c r="G214" t="s">
        <v>310</v>
      </c>
      <c r="H214" t="s">
        <v>69</v>
      </c>
      <c r="I214">
        <v>4</v>
      </c>
      <c r="J214" t="s">
        <v>310</v>
      </c>
      <c r="K214">
        <v>30</v>
      </c>
      <c r="L214" t="s">
        <v>22</v>
      </c>
    </row>
    <row r="215" spans="7:12" x14ac:dyDescent="0.25">
      <c r="G215" t="s">
        <v>311</v>
      </c>
      <c r="H215" t="s">
        <v>69</v>
      </c>
      <c r="I215">
        <v>5</v>
      </c>
      <c r="J215" t="s">
        <v>311</v>
      </c>
      <c r="K215">
        <v>30</v>
      </c>
      <c r="L215" t="s">
        <v>22</v>
      </c>
    </row>
    <row r="216" spans="7:12" x14ac:dyDescent="0.25">
      <c r="G216" t="s">
        <v>312</v>
      </c>
      <c r="H216" t="s">
        <v>69</v>
      </c>
      <c r="I216">
        <v>6</v>
      </c>
      <c r="J216" t="s">
        <v>312</v>
      </c>
      <c r="K216">
        <v>30</v>
      </c>
      <c r="L216" t="s">
        <v>22</v>
      </c>
    </row>
    <row r="217" spans="7:12" x14ac:dyDescent="0.25">
      <c r="G217" t="s">
        <v>313</v>
      </c>
      <c r="H217" t="s">
        <v>69</v>
      </c>
      <c r="I217">
        <v>7</v>
      </c>
      <c r="J217" t="s">
        <v>313</v>
      </c>
      <c r="K217">
        <v>30</v>
      </c>
      <c r="L217" t="s">
        <v>22</v>
      </c>
    </row>
    <row r="218" spans="7:12" x14ac:dyDescent="0.25">
      <c r="G218" t="s">
        <v>314</v>
      </c>
      <c r="H218" t="s">
        <v>69</v>
      </c>
      <c r="I218">
        <v>8</v>
      </c>
      <c r="J218" t="s">
        <v>314</v>
      </c>
      <c r="K218">
        <v>30</v>
      </c>
      <c r="L218" t="s">
        <v>22</v>
      </c>
    </row>
    <row r="219" spans="7:12" x14ac:dyDescent="0.25">
      <c r="G219" t="s">
        <v>315</v>
      </c>
      <c r="H219" t="s">
        <v>69</v>
      </c>
      <c r="I219">
        <v>10</v>
      </c>
      <c r="J219" t="s">
        <v>315</v>
      </c>
      <c r="K219">
        <v>30</v>
      </c>
      <c r="L219" t="s">
        <v>22</v>
      </c>
    </row>
    <row r="220" spans="7:12" x14ac:dyDescent="0.25">
      <c r="G220" t="s">
        <v>316</v>
      </c>
      <c r="H220" t="s">
        <v>69</v>
      </c>
      <c r="I220">
        <v>11</v>
      </c>
      <c r="J220" t="s">
        <v>316</v>
      </c>
      <c r="K220">
        <v>30</v>
      </c>
      <c r="L220" t="s">
        <v>22</v>
      </c>
    </row>
    <row r="221" spans="7:12" x14ac:dyDescent="0.25">
      <c r="G221" t="s">
        <v>317</v>
      </c>
      <c r="H221" t="s">
        <v>69</v>
      </c>
      <c r="I221">
        <v>12</v>
      </c>
      <c r="J221" t="s">
        <v>317</v>
      </c>
      <c r="K221">
        <v>60</v>
      </c>
      <c r="L221" t="s">
        <v>22</v>
      </c>
    </row>
    <row r="222" spans="7:12" x14ac:dyDescent="0.25">
      <c r="G222" t="s">
        <v>318</v>
      </c>
      <c r="H222" t="s">
        <v>69</v>
      </c>
      <c r="I222">
        <v>13</v>
      </c>
      <c r="J222" t="s">
        <v>318</v>
      </c>
      <c r="K222">
        <v>60</v>
      </c>
      <c r="L222" t="s">
        <v>22</v>
      </c>
    </row>
    <row r="223" spans="7:12" x14ac:dyDescent="0.25">
      <c r="G223" t="s">
        <v>319</v>
      </c>
      <c r="H223" t="s">
        <v>69</v>
      </c>
      <c r="I223">
        <v>15</v>
      </c>
      <c r="J223" t="s">
        <v>319</v>
      </c>
      <c r="K223">
        <v>60</v>
      </c>
      <c r="L223" t="s">
        <v>22</v>
      </c>
    </row>
    <row r="224" spans="7:12" x14ac:dyDescent="0.25">
      <c r="G224" t="s">
        <v>320</v>
      </c>
      <c r="H224" t="s">
        <v>69</v>
      </c>
      <c r="I224">
        <v>16</v>
      </c>
      <c r="J224" t="s">
        <v>320</v>
      </c>
      <c r="K224">
        <v>60</v>
      </c>
      <c r="L224" t="s">
        <v>22</v>
      </c>
    </row>
    <row r="225" spans="7:12" x14ac:dyDescent="0.25">
      <c r="G225" t="s">
        <v>321</v>
      </c>
      <c r="H225" t="s">
        <v>69</v>
      </c>
      <c r="I225">
        <v>17</v>
      </c>
      <c r="J225" t="s">
        <v>321</v>
      </c>
      <c r="K225">
        <v>30</v>
      </c>
      <c r="L225" t="s">
        <v>22</v>
      </c>
    </row>
    <row r="226" spans="7:12" x14ac:dyDescent="0.25">
      <c r="G226" t="s">
        <v>309</v>
      </c>
      <c r="H226" t="s">
        <v>69</v>
      </c>
      <c r="I226">
        <v>18</v>
      </c>
      <c r="J226" t="s">
        <v>309</v>
      </c>
      <c r="K226">
        <v>30</v>
      </c>
      <c r="L226" t="s">
        <v>22</v>
      </c>
    </row>
    <row r="227" spans="7:12" x14ac:dyDescent="0.25">
      <c r="G227" t="s">
        <v>323</v>
      </c>
      <c r="H227" t="s">
        <v>69</v>
      </c>
      <c r="I227">
        <v>20</v>
      </c>
      <c r="J227" t="s">
        <v>323</v>
      </c>
      <c r="K227">
        <v>60</v>
      </c>
      <c r="L227" t="s">
        <v>22</v>
      </c>
    </row>
    <row r="228" spans="7:12" x14ac:dyDescent="0.25">
      <c r="G228" t="s">
        <v>326</v>
      </c>
      <c r="H228" t="s">
        <v>69</v>
      </c>
      <c r="I228">
        <v>23</v>
      </c>
      <c r="J228" t="s">
        <v>326</v>
      </c>
      <c r="K228">
        <v>30</v>
      </c>
      <c r="L228" t="s">
        <v>22</v>
      </c>
    </row>
    <row r="229" spans="7:12" x14ac:dyDescent="0.25">
      <c r="G229" t="s">
        <v>344</v>
      </c>
      <c r="H229" t="s">
        <v>70</v>
      </c>
      <c r="I229">
        <v>4</v>
      </c>
      <c r="J229" t="s">
        <v>344</v>
      </c>
      <c r="K229">
        <v>30</v>
      </c>
      <c r="L229" t="s">
        <v>22</v>
      </c>
    </row>
    <row r="230" spans="7:12" x14ac:dyDescent="0.25">
      <c r="G230" t="s">
        <v>345</v>
      </c>
      <c r="H230" t="s">
        <v>70</v>
      </c>
      <c r="I230">
        <v>5</v>
      </c>
      <c r="J230" t="s">
        <v>345</v>
      </c>
      <c r="K230">
        <v>30</v>
      </c>
      <c r="L230" t="s">
        <v>22</v>
      </c>
    </row>
    <row r="231" spans="7:12" x14ac:dyDescent="0.25">
      <c r="G231" t="s">
        <v>346</v>
      </c>
      <c r="H231" t="s">
        <v>70</v>
      </c>
      <c r="I231">
        <v>6</v>
      </c>
      <c r="J231" t="s">
        <v>346</v>
      </c>
      <c r="K231">
        <v>30</v>
      </c>
      <c r="L231" t="s">
        <v>22</v>
      </c>
    </row>
    <row r="232" spans="7:12" x14ac:dyDescent="0.25">
      <c r="G232" t="s">
        <v>347</v>
      </c>
      <c r="H232" t="s">
        <v>70</v>
      </c>
      <c r="I232">
        <v>7</v>
      </c>
      <c r="J232" t="s">
        <v>347</v>
      </c>
      <c r="K232">
        <v>30</v>
      </c>
      <c r="L232" t="s">
        <v>22</v>
      </c>
    </row>
    <row r="233" spans="7:12" x14ac:dyDescent="0.25">
      <c r="G233" t="s">
        <v>348</v>
      </c>
      <c r="H233" t="s">
        <v>70</v>
      </c>
      <c r="I233">
        <v>8</v>
      </c>
      <c r="J233" t="s">
        <v>348</v>
      </c>
      <c r="K233">
        <v>30</v>
      </c>
      <c r="L233" t="s">
        <v>22</v>
      </c>
    </row>
    <row r="234" spans="7:12" x14ac:dyDescent="0.25">
      <c r="G234" t="s">
        <v>349</v>
      </c>
      <c r="H234" t="s">
        <v>70</v>
      </c>
      <c r="I234">
        <v>9</v>
      </c>
      <c r="J234" t="s">
        <v>349</v>
      </c>
      <c r="K234">
        <v>30</v>
      </c>
      <c r="L234" t="s">
        <v>22</v>
      </c>
    </row>
    <row r="235" spans="7:12" x14ac:dyDescent="0.25">
      <c r="G235" t="s">
        <v>333</v>
      </c>
      <c r="H235" t="s">
        <v>70</v>
      </c>
      <c r="I235">
        <v>10</v>
      </c>
      <c r="J235" t="s">
        <v>333</v>
      </c>
      <c r="K235">
        <v>60</v>
      </c>
      <c r="L235" t="s">
        <v>22</v>
      </c>
    </row>
    <row r="236" spans="7:12" x14ac:dyDescent="0.25">
      <c r="G236" t="s">
        <v>334</v>
      </c>
      <c r="H236" t="s">
        <v>70</v>
      </c>
      <c r="I236">
        <v>11</v>
      </c>
      <c r="J236" t="s">
        <v>334</v>
      </c>
      <c r="K236">
        <v>60</v>
      </c>
      <c r="L236" t="s">
        <v>22</v>
      </c>
    </row>
    <row r="237" spans="7:12" x14ac:dyDescent="0.25">
      <c r="G237" t="s">
        <v>335</v>
      </c>
      <c r="H237" t="s">
        <v>70</v>
      </c>
      <c r="I237">
        <v>12</v>
      </c>
      <c r="J237" t="s">
        <v>335</v>
      </c>
      <c r="K237">
        <v>60</v>
      </c>
      <c r="L237" t="s">
        <v>22</v>
      </c>
    </row>
    <row r="238" spans="7:12" x14ac:dyDescent="0.25">
      <c r="G238" t="s">
        <v>336</v>
      </c>
      <c r="H238" t="s">
        <v>70</v>
      </c>
      <c r="I238">
        <v>13</v>
      </c>
      <c r="J238" t="s">
        <v>336</v>
      </c>
      <c r="K238">
        <v>60</v>
      </c>
      <c r="L238" t="s">
        <v>22</v>
      </c>
    </row>
    <row r="239" spans="7:12" x14ac:dyDescent="0.25">
      <c r="G239" t="s">
        <v>337</v>
      </c>
      <c r="H239" t="s">
        <v>70</v>
      </c>
      <c r="I239">
        <v>14</v>
      </c>
      <c r="J239" t="s">
        <v>337</v>
      </c>
      <c r="K239">
        <v>60</v>
      </c>
      <c r="L239" t="s">
        <v>22</v>
      </c>
    </row>
    <row r="240" spans="7:12" x14ac:dyDescent="0.25">
      <c r="G240" t="s">
        <v>338</v>
      </c>
      <c r="H240" t="s">
        <v>70</v>
      </c>
      <c r="I240">
        <v>15</v>
      </c>
      <c r="J240" t="s">
        <v>338</v>
      </c>
      <c r="K240">
        <v>60</v>
      </c>
      <c r="L240" t="s">
        <v>22</v>
      </c>
    </row>
    <row r="241" spans="7:12" x14ac:dyDescent="0.25">
      <c r="G241" t="s">
        <v>339</v>
      </c>
      <c r="H241" t="s">
        <v>70</v>
      </c>
      <c r="I241">
        <v>16</v>
      </c>
      <c r="J241" t="s">
        <v>339</v>
      </c>
      <c r="K241">
        <v>60</v>
      </c>
      <c r="L241" t="s">
        <v>22</v>
      </c>
    </row>
    <row r="242" spans="7:12" x14ac:dyDescent="0.25">
      <c r="G242" t="s">
        <v>330</v>
      </c>
      <c r="H242" t="s">
        <v>70</v>
      </c>
      <c r="I242">
        <v>17</v>
      </c>
      <c r="J242" t="s">
        <v>330</v>
      </c>
      <c r="K242">
        <v>60</v>
      </c>
      <c r="L242" t="s">
        <v>22</v>
      </c>
    </row>
    <row r="243" spans="7:12" x14ac:dyDescent="0.25">
      <c r="G243" t="s">
        <v>331</v>
      </c>
      <c r="H243" t="s">
        <v>70</v>
      </c>
      <c r="I243">
        <v>18</v>
      </c>
      <c r="J243" t="s">
        <v>331</v>
      </c>
      <c r="K243">
        <v>30</v>
      </c>
      <c r="L243" t="s">
        <v>22</v>
      </c>
    </row>
    <row r="244" spans="7:12" x14ac:dyDescent="0.25">
      <c r="G244" t="s">
        <v>332</v>
      </c>
      <c r="H244" t="s">
        <v>70</v>
      </c>
      <c r="I244">
        <v>19</v>
      </c>
      <c r="J244" t="s">
        <v>332</v>
      </c>
      <c r="K244">
        <v>60</v>
      </c>
      <c r="L244" t="s">
        <v>22</v>
      </c>
    </row>
    <row r="245" spans="7:12" x14ac:dyDescent="0.25">
      <c r="G245" t="s">
        <v>350</v>
      </c>
      <c r="H245" t="s">
        <v>70</v>
      </c>
      <c r="I245">
        <v>20</v>
      </c>
      <c r="J245" t="s">
        <v>350</v>
      </c>
      <c r="K245">
        <v>30</v>
      </c>
      <c r="L245" t="s">
        <v>22</v>
      </c>
    </row>
    <row r="246" spans="7:12" x14ac:dyDescent="0.25">
      <c r="G246" t="s">
        <v>340</v>
      </c>
      <c r="H246" t="s">
        <v>70</v>
      </c>
      <c r="I246">
        <v>21</v>
      </c>
      <c r="J246" t="s">
        <v>340</v>
      </c>
      <c r="K246">
        <v>60</v>
      </c>
      <c r="L246" t="s">
        <v>22</v>
      </c>
    </row>
    <row r="247" spans="7:12" x14ac:dyDescent="0.25">
      <c r="G247" t="s">
        <v>341</v>
      </c>
      <c r="H247" t="s">
        <v>70</v>
      </c>
      <c r="I247">
        <v>22</v>
      </c>
      <c r="J247" t="s">
        <v>341</v>
      </c>
      <c r="K247">
        <v>60</v>
      </c>
      <c r="L247" t="s">
        <v>22</v>
      </c>
    </row>
    <row r="248" spans="7:12" x14ac:dyDescent="0.25">
      <c r="G248" t="s">
        <v>342</v>
      </c>
      <c r="H248" t="s">
        <v>70</v>
      </c>
      <c r="I248">
        <v>23</v>
      </c>
      <c r="J248" t="s">
        <v>342</v>
      </c>
      <c r="K248">
        <v>60</v>
      </c>
      <c r="L248" t="s">
        <v>22</v>
      </c>
    </row>
    <row r="249" spans="7:12" x14ac:dyDescent="0.25">
      <c r="G249" t="s">
        <v>343</v>
      </c>
      <c r="H249" t="s">
        <v>70</v>
      </c>
      <c r="I249">
        <v>24</v>
      </c>
      <c r="J249" t="s">
        <v>343</v>
      </c>
      <c r="K249">
        <v>60</v>
      </c>
      <c r="L249" t="s">
        <v>22</v>
      </c>
    </row>
    <row r="250" spans="7:12" x14ac:dyDescent="0.25">
      <c r="G250" t="s">
        <v>351</v>
      </c>
      <c r="H250" t="s">
        <v>70</v>
      </c>
      <c r="I250">
        <v>25</v>
      </c>
      <c r="J250" t="s">
        <v>351</v>
      </c>
      <c r="K250">
        <v>30</v>
      </c>
      <c r="L250" t="s">
        <v>22</v>
      </c>
    </row>
    <row r="251" spans="7:12" x14ac:dyDescent="0.25">
      <c r="G251" t="s">
        <v>362</v>
      </c>
      <c r="H251" t="s">
        <v>73</v>
      </c>
      <c r="I251">
        <v>3</v>
      </c>
      <c r="J251" t="s">
        <v>362</v>
      </c>
      <c r="K251">
        <v>30</v>
      </c>
      <c r="L251" t="s">
        <v>22</v>
      </c>
    </row>
    <row r="252" spans="7:12" x14ac:dyDescent="0.25">
      <c r="G252" t="s">
        <v>363</v>
      </c>
      <c r="H252" t="s">
        <v>73</v>
      </c>
      <c r="I252">
        <v>4</v>
      </c>
      <c r="J252" t="s">
        <v>363</v>
      </c>
      <c r="K252">
        <v>30</v>
      </c>
      <c r="L252" t="s">
        <v>22</v>
      </c>
    </row>
    <row r="253" spans="7:12" x14ac:dyDescent="0.25">
      <c r="G253" t="s">
        <v>364</v>
      </c>
      <c r="H253" t="s">
        <v>73</v>
      </c>
      <c r="I253">
        <v>5</v>
      </c>
      <c r="J253" t="s">
        <v>364</v>
      </c>
      <c r="K253">
        <v>30</v>
      </c>
      <c r="L253" t="s">
        <v>22</v>
      </c>
    </row>
    <row r="254" spans="7:12" x14ac:dyDescent="0.25">
      <c r="G254" t="s">
        <v>365</v>
      </c>
      <c r="H254" t="s">
        <v>73</v>
      </c>
      <c r="I254">
        <v>6</v>
      </c>
      <c r="J254" t="s">
        <v>365</v>
      </c>
      <c r="K254">
        <v>30</v>
      </c>
      <c r="L254" t="s">
        <v>22</v>
      </c>
    </row>
    <row r="255" spans="7:12" x14ac:dyDescent="0.25">
      <c r="G255" t="s">
        <v>366</v>
      </c>
      <c r="H255" t="s">
        <v>73</v>
      </c>
      <c r="I255">
        <v>7</v>
      </c>
      <c r="J255" t="s">
        <v>366</v>
      </c>
      <c r="K255">
        <v>30</v>
      </c>
      <c r="L255" t="s">
        <v>22</v>
      </c>
    </row>
    <row r="256" spans="7:12" x14ac:dyDescent="0.25">
      <c r="G256" t="s">
        <v>367</v>
      </c>
      <c r="H256" t="s">
        <v>73</v>
      </c>
      <c r="I256">
        <v>9</v>
      </c>
      <c r="J256" t="s">
        <v>367</v>
      </c>
      <c r="K256">
        <v>30</v>
      </c>
      <c r="L256" t="s">
        <v>22</v>
      </c>
    </row>
    <row r="257" spans="7:12" x14ac:dyDescent="0.25">
      <c r="G257" t="s">
        <v>368</v>
      </c>
      <c r="H257" t="s">
        <v>73</v>
      </c>
      <c r="I257">
        <v>10</v>
      </c>
      <c r="J257" t="s">
        <v>368</v>
      </c>
      <c r="K257">
        <v>30</v>
      </c>
      <c r="L257" t="s">
        <v>22</v>
      </c>
    </row>
    <row r="258" spans="7:12" x14ac:dyDescent="0.25">
      <c r="G258" t="s">
        <v>369</v>
      </c>
      <c r="H258" t="s">
        <v>73</v>
      </c>
      <c r="I258">
        <v>11</v>
      </c>
      <c r="J258" t="s">
        <v>369</v>
      </c>
      <c r="K258">
        <v>60</v>
      </c>
      <c r="L258" t="s">
        <v>22</v>
      </c>
    </row>
    <row r="259" spans="7:12" x14ac:dyDescent="0.25">
      <c r="G259" t="s">
        <v>370</v>
      </c>
      <c r="H259" t="s">
        <v>73</v>
      </c>
      <c r="I259">
        <v>12</v>
      </c>
      <c r="J259" t="s">
        <v>370</v>
      </c>
      <c r="K259">
        <v>60</v>
      </c>
      <c r="L259" t="s">
        <v>22</v>
      </c>
    </row>
    <row r="260" spans="7:12" x14ac:dyDescent="0.25">
      <c r="G260" t="s">
        <v>371</v>
      </c>
      <c r="H260" t="s">
        <v>73</v>
      </c>
      <c r="I260">
        <v>13</v>
      </c>
      <c r="J260" t="s">
        <v>371</v>
      </c>
      <c r="K260">
        <v>60</v>
      </c>
      <c r="L260" t="s">
        <v>22</v>
      </c>
    </row>
    <row r="261" spans="7:12" x14ac:dyDescent="0.25">
      <c r="G261" t="s">
        <v>372</v>
      </c>
      <c r="H261" t="s">
        <v>73</v>
      </c>
      <c r="I261">
        <v>14</v>
      </c>
      <c r="J261" t="s">
        <v>372</v>
      </c>
      <c r="K261">
        <v>60</v>
      </c>
      <c r="L261" t="s">
        <v>22</v>
      </c>
    </row>
    <row r="262" spans="7:12" x14ac:dyDescent="0.25">
      <c r="G262" t="s">
        <v>373</v>
      </c>
      <c r="H262" t="s">
        <v>73</v>
      </c>
      <c r="I262">
        <v>15</v>
      </c>
      <c r="J262" t="s">
        <v>373</v>
      </c>
      <c r="K262">
        <v>60</v>
      </c>
      <c r="L262" t="s">
        <v>22</v>
      </c>
    </row>
    <row r="263" spans="7:12" x14ac:dyDescent="0.25">
      <c r="G263" t="s">
        <v>374</v>
      </c>
      <c r="H263" t="s">
        <v>73</v>
      </c>
      <c r="I263">
        <v>18</v>
      </c>
      <c r="J263" t="s">
        <v>374</v>
      </c>
      <c r="K263">
        <v>60</v>
      </c>
      <c r="L263" t="s">
        <v>22</v>
      </c>
    </row>
    <row r="264" spans="7:12" x14ac:dyDescent="0.25">
      <c r="G264" t="s">
        <v>375</v>
      </c>
      <c r="H264" t="s">
        <v>73</v>
      </c>
      <c r="I264">
        <v>19</v>
      </c>
      <c r="J264" t="s">
        <v>375</v>
      </c>
      <c r="K264">
        <v>60</v>
      </c>
      <c r="L264" t="s">
        <v>22</v>
      </c>
    </row>
    <row r="265" spans="7:12" x14ac:dyDescent="0.25">
      <c r="G265" t="s">
        <v>376</v>
      </c>
      <c r="H265" t="s">
        <v>73</v>
      </c>
      <c r="I265">
        <v>20</v>
      </c>
      <c r="J265" t="s">
        <v>376</v>
      </c>
      <c r="K265">
        <v>60</v>
      </c>
      <c r="L265" t="s">
        <v>22</v>
      </c>
    </row>
    <row r="266" spans="7:12" x14ac:dyDescent="0.25">
      <c r="G266" t="s">
        <v>377</v>
      </c>
      <c r="H266" t="s">
        <v>73</v>
      </c>
      <c r="I266">
        <v>21</v>
      </c>
      <c r="J266" t="s">
        <v>377</v>
      </c>
      <c r="K266">
        <v>60</v>
      </c>
      <c r="L266" t="s">
        <v>22</v>
      </c>
    </row>
    <row r="267" spans="7:12" x14ac:dyDescent="0.25">
      <c r="G267" t="s">
        <v>378</v>
      </c>
      <c r="H267" t="s">
        <v>73</v>
      </c>
      <c r="I267">
        <v>22</v>
      </c>
      <c r="J267" t="s">
        <v>378</v>
      </c>
      <c r="K267">
        <v>60</v>
      </c>
      <c r="L267" t="s">
        <v>22</v>
      </c>
    </row>
    <row r="268" spans="7:12" x14ac:dyDescent="0.25">
      <c r="G268" t="s">
        <v>379</v>
      </c>
      <c r="H268" t="s">
        <v>73</v>
      </c>
      <c r="I268">
        <v>23</v>
      </c>
      <c r="J268" t="s">
        <v>379</v>
      </c>
      <c r="K268">
        <v>60</v>
      </c>
      <c r="L268" t="s">
        <v>22</v>
      </c>
    </row>
    <row r="269" spans="7:12" x14ac:dyDescent="0.25">
      <c r="G269" t="s">
        <v>380</v>
      </c>
      <c r="H269" t="s">
        <v>73</v>
      </c>
      <c r="I269">
        <v>24</v>
      </c>
      <c r="J269" t="s">
        <v>380</v>
      </c>
      <c r="K269">
        <v>60</v>
      </c>
      <c r="L269" t="s">
        <v>22</v>
      </c>
    </row>
    <row r="270" spans="7:12" x14ac:dyDescent="0.25">
      <c r="G270" t="s">
        <v>381</v>
      </c>
      <c r="H270" t="s">
        <v>73</v>
      </c>
      <c r="I270">
        <v>25</v>
      </c>
      <c r="J270" t="s">
        <v>381</v>
      </c>
      <c r="K270">
        <v>60</v>
      </c>
      <c r="L270" t="s">
        <v>22</v>
      </c>
    </row>
    <row r="271" spans="7:12" x14ac:dyDescent="0.25">
      <c r="G271" t="s">
        <v>382</v>
      </c>
      <c r="H271" t="s">
        <v>73</v>
      </c>
      <c r="I271">
        <v>26</v>
      </c>
      <c r="J271" t="s">
        <v>382</v>
      </c>
      <c r="K271">
        <v>60</v>
      </c>
      <c r="L271" t="s">
        <v>22</v>
      </c>
    </row>
    <row r="272" spans="7:12" x14ac:dyDescent="0.25">
      <c r="G272" t="s">
        <v>383</v>
      </c>
      <c r="H272" t="s">
        <v>73</v>
      </c>
      <c r="I272">
        <v>27</v>
      </c>
      <c r="J272" t="s">
        <v>383</v>
      </c>
      <c r="K272">
        <v>60</v>
      </c>
      <c r="L272" t="s">
        <v>22</v>
      </c>
    </row>
    <row r="273" spans="7:12" x14ac:dyDescent="0.25">
      <c r="G273" t="s">
        <v>361</v>
      </c>
      <c r="H273" t="s">
        <v>73</v>
      </c>
      <c r="I273">
        <v>28</v>
      </c>
      <c r="J273" t="s">
        <v>361</v>
      </c>
      <c r="K273">
        <v>60</v>
      </c>
      <c r="L273" t="s">
        <v>22</v>
      </c>
    </row>
    <row r="274" spans="7:12" x14ac:dyDescent="0.25">
      <c r="G274" t="s">
        <v>390</v>
      </c>
      <c r="H274" t="s">
        <v>74</v>
      </c>
      <c r="I274">
        <v>3</v>
      </c>
      <c r="J274" t="s">
        <v>390</v>
      </c>
      <c r="K274">
        <v>60</v>
      </c>
      <c r="L274" t="s">
        <v>22</v>
      </c>
    </row>
    <row r="275" spans="7:12" x14ac:dyDescent="0.25">
      <c r="G275" t="s">
        <v>391</v>
      </c>
      <c r="H275" t="s">
        <v>74</v>
      </c>
      <c r="I275">
        <v>4</v>
      </c>
      <c r="J275" t="s">
        <v>391</v>
      </c>
      <c r="K275">
        <v>60</v>
      </c>
      <c r="L275" t="s">
        <v>22</v>
      </c>
    </row>
    <row r="276" spans="7:12" x14ac:dyDescent="0.25">
      <c r="G276" t="s">
        <v>392</v>
      </c>
      <c r="H276" t="s">
        <v>74</v>
      </c>
      <c r="I276">
        <v>5</v>
      </c>
      <c r="J276" t="s">
        <v>392</v>
      </c>
      <c r="K276">
        <v>60</v>
      </c>
      <c r="L276" t="s">
        <v>22</v>
      </c>
    </row>
    <row r="277" spans="7:12" x14ac:dyDescent="0.25">
      <c r="G277" t="s">
        <v>393</v>
      </c>
      <c r="H277" t="s">
        <v>74</v>
      </c>
      <c r="I277">
        <v>6</v>
      </c>
      <c r="J277" t="s">
        <v>393</v>
      </c>
      <c r="K277">
        <v>60</v>
      </c>
      <c r="L277" t="s">
        <v>22</v>
      </c>
    </row>
    <row r="278" spans="7:12" x14ac:dyDescent="0.25">
      <c r="G278" t="s">
        <v>394</v>
      </c>
      <c r="H278" t="s">
        <v>74</v>
      </c>
      <c r="I278">
        <v>7</v>
      </c>
      <c r="J278" t="s">
        <v>394</v>
      </c>
      <c r="K278">
        <v>60</v>
      </c>
      <c r="L278" t="s">
        <v>22</v>
      </c>
    </row>
    <row r="279" spans="7:12" x14ac:dyDescent="0.25">
      <c r="G279" t="s">
        <v>387</v>
      </c>
      <c r="H279" t="s">
        <v>75</v>
      </c>
      <c r="I279">
        <v>9</v>
      </c>
      <c r="J279" t="s">
        <v>387</v>
      </c>
      <c r="K279">
        <v>30</v>
      </c>
      <c r="L279" t="s">
        <v>22</v>
      </c>
    </row>
    <row r="280" spans="7:12" x14ac:dyDescent="0.25">
      <c r="G280" t="s">
        <v>395</v>
      </c>
      <c r="H280" t="s">
        <v>75</v>
      </c>
      <c r="I280">
        <v>10</v>
      </c>
      <c r="J280" t="s">
        <v>395</v>
      </c>
      <c r="K280">
        <v>30</v>
      </c>
      <c r="L280" t="s">
        <v>22</v>
      </c>
    </row>
    <row r="281" spans="7:12" x14ac:dyDescent="0.25">
      <c r="G281" t="s">
        <v>396</v>
      </c>
      <c r="H281" t="s">
        <v>75</v>
      </c>
      <c r="I281">
        <v>11</v>
      </c>
      <c r="J281" t="s">
        <v>396</v>
      </c>
      <c r="K281">
        <v>30</v>
      </c>
      <c r="L281" t="s">
        <v>22</v>
      </c>
    </row>
    <row r="282" spans="7:12" x14ac:dyDescent="0.25">
      <c r="G282" t="s">
        <v>397</v>
      </c>
      <c r="H282" t="s">
        <v>75</v>
      </c>
      <c r="I282">
        <v>12</v>
      </c>
      <c r="J282" t="s">
        <v>397</v>
      </c>
      <c r="K282">
        <v>30</v>
      </c>
      <c r="L282" t="s">
        <v>22</v>
      </c>
    </row>
    <row r="283" spans="7:12" x14ac:dyDescent="0.25">
      <c r="G283" t="s">
        <v>398</v>
      </c>
      <c r="H283" t="s">
        <v>75</v>
      </c>
      <c r="I283">
        <v>13</v>
      </c>
      <c r="J283" t="s">
        <v>398</v>
      </c>
      <c r="K283">
        <v>30</v>
      </c>
      <c r="L283" t="s">
        <v>22</v>
      </c>
    </row>
    <row r="284" spans="7:12" x14ac:dyDescent="0.25">
      <c r="G284" t="s">
        <v>399</v>
      </c>
      <c r="H284" t="s">
        <v>75</v>
      </c>
      <c r="I284">
        <v>14</v>
      </c>
      <c r="J284" t="s">
        <v>399</v>
      </c>
      <c r="K284">
        <v>30</v>
      </c>
      <c r="L284" t="s">
        <v>22</v>
      </c>
    </row>
    <row r="285" spans="7:12" x14ac:dyDescent="0.25">
      <c r="G285" t="s">
        <v>400</v>
      </c>
      <c r="H285" t="s">
        <v>75</v>
      </c>
      <c r="I285">
        <v>15</v>
      </c>
      <c r="J285" t="s">
        <v>400</v>
      </c>
      <c r="K285">
        <v>30</v>
      </c>
      <c r="L285" t="s">
        <v>22</v>
      </c>
    </row>
    <row r="286" spans="7:12" x14ac:dyDescent="0.25">
      <c r="G286" t="s">
        <v>388</v>
      </c>
      <c r="H286" t="s">
        <v>75</v>
      </c>
      <c r="I286">
        <v>31</v>
      </c>
      <c r="J286" t="s">
        <v>388</v>
      </c>
      <c r="K286">
        <v>60</v>
      </c>
      <c r="L286" t="s">
        <v>22</v>
      </c>
    </row>
    <row r="287" spans="7:12" x14ac:dyDescent="0.25">
      <c r="G287" t="s">
        <v>416</v>
      </c>
      <c r="H287" t="s">
        <v>75</v>
      </c>
      <c r="I287">
        <v>32</v>
      </c>
      <c r="J287" t="s">
        <v>416</v>
      </c>
      <c r="K287">
        <v>60</v>
      </c>
      <c r="L287" t="s">
        <v>22</v>
      </c>
    </row>
    <row r="288" spans="7:12" x14ac:dyDescent="0.25">
      <c r="G288" t="s">
        <v>417</v>
      </c>
      <c r="H288" t="s">
        <v>75</v>
      </c>
      <c r="I288">
        <v>33</v>
      </c>
      <c r="J288" t="s">
        <v>417</v>
      </c>
      <c r="K288">
        <v>60</v>
      </c>
      <c r="L288" t="s">
        <v>22</v>
      </c>
    </row>
    <row r="289" spans="7:12" x14ac:dyDescent="0.25">
      <c r="G289" t="s">
        <v>419</v>
      </c>
      <c r="H289" t="s">
        <v>75</v>
      </c>
      <c r="I289">
        <v>35</v>
      </c>
      <c r="J289" t="s">
        <v>419</v>
      </c>
      <c r="K289">
        <v>60</v>
      </c>
      <c r="L289" t="s">
        <v>22</v>
      </c>
    </row>
    <row r="290" spans="7:12" x14ac:dyDescent="0.25">
      <c r="G290" t="s">
        <v>420</v>
      </c>
      <c r="H290" t="s">
        <v>75</v>
      </c>
      <c r="I290">
        <v>36</v>
      </c>
      <c r="J290" t="s">
        <v>420</v>
      </c>
      <c r="K290">
        <v>60</v>
      </c>
      <c r="L290" t="s">
        <v>22</v>
      </c>
    </row>
    <row r="291" spans="7:12" x14ac:dyDescent="0.25">
      <c r="G291" t="s">
        <v>389</v>
      </c>
      <c r="H291" t="s">
        <v>75</v>
      </c>
      <c r="I291">
        <v>37</v>
      </c>
      <c r="J291" t="s">
        <v>389</v>
      </c>
      <c r="K291">
        <v>60</v>
      </c>
      <c r="L291" t="s">
        <v>22</v>
      </c>
    </row>
    <row r="292" spans="7:12" x14ac:dyDescent="0.25">
      <c r="G292" t="s">
        <v>421</v>
      </c>
      <c r="H292" t="s">
        <v>75</v>
      </c>
      <c r="I292">
        <v>38</v>
      </c>
      <c r="J292" t="s">
        <v>421</v>
      </c>
      <c r="K292">
        <v>30</v>
      </c>
      <c r="L292" t="s">
        <v>22</v>
      </c>
    </row>
    <row r="293" spans="7:12" x14ac:dyDescent="0.25">
      <c r="G293" t="s">
        <v>422</v>
      </c>
      <c r="H293" t="s">
        <v>75</v>
      </c>
      <c r="I293">
        <v>39</v>
      </c>
      <c r="J293" t="s">
        <v>422</v>
      </c>
      <c r="K293">
        <v>30</v>
      </c>
      <c r="L293" t="s">
        <v>22</v>
      </c>
    </row>
    <row r="294" spans="7:12" x14ac:dyDescent="0.25">
      <c r="G294" t="s">
        <v>423</v>
      </c>
      <c r="H294" t="s">
        <v>75</v>
      </c>
      <c r="I294">
        <v>40</v>
      </c>
      <c r="J294" t="s">
        <v>423</v>
      </c>
      <c r="K294">
        <v>60</v>
      </c>
      <c r="L294" t="s">
        <v>22</v>
      </c>
    </row>
    <row r="295" spans="7:12" x14ac:dyDescent="0.25">
      <c r="G295" t="s">
        <v>387</v>
      </c>
      <c r="H295" t="s">
        <v>76</v>
      </c>
      <c r="I295">
        <v>9</v>
      </c>
      <c r="J295" t="s">
        <v>387</v>
      </c>
      <c r="K295">
        <v>30</v>
      </c>
      <c r="L295" t="s">
        <v>22</v>
      </c>
    </row>
    <row r="296" spans="7:12" x14ac:dyDescent="0.25">
      <c r="G296" t="s">
        <v>395</v>
      </c>
      <c r="H296" t="s">
        <v>76</v>
      </c>
      <c r="I296">
        <v>10</v>
      </c>
      <c r="J296" t="s">
        <v>395</v>
      </c>
      <c r="K296">
        <v>30</v>
      </c>
      <c r="L296" t="s">
        <v>22</v>
      </c>
    </row>
    <row r="297" spans="7:12" x14ac:dyDescent="0.25">
      <c r="G297" t="s">
        <v>396</v>
      </c>
      <c r="H297" t="s">
        <v>76</v>
      </c>
      <c r="I297">
        <v>11</v>
      </c>
      <c r="J297" t="s">
        <v>396</v>
      </c>
      <c r="K297">
        <v>30</v>
      </c>
      <c r="L297" t="s">
        <v>22</v>
      </c>
    </row>
    <row r="298" spans="7:12" x14ac:dyDescent="0.25">
      <c r="G298" t="s">
        <v>397</v>
      </c>
      <c r="H298" t="s">
        <v>76</v>
      </c>
      <c r="I298">
        <v>12</v>
      </c>
      <c r="J298" t="s">
        <v>397</v>
      </c>
      <c r="K298">
        <v>30</v>
      </c>
      <c r="L298" t="s">
        <v>22</v>
      </c>
    </row>
    <row r="299" spans="7:12" x14ac:dyDescent="0.25">
      <c r="G299" t="s">
        <v>398</v>
      </c>
      <c r="H299" t="s">
        <v>76</v>
      </c>
      <c r="I299">
        <v>13</v>
      </c>
      <c r="J299" t="s">
        <v>398</v>
      </c>
      <c r="K299">
        <v>30</v>
      </c>
      <c r="L299" t="s">
        <v>22</v>
      </c>
    </row>
    <row r="300" spans="7:12" x14ac:dyDescent="0.25">
      <c r="G300" t="s">
        <v>401</v>
      </c>
      <c r="H300" t="s">
        <v>76</v>
      </c>
      <c r="I300">
        <v>16</v>
      </c>
      <c r="J300" t="s">
        <v>401</v>
      </c>
      <c r="K300">
        <v>30</v>
      </c>
      <c r="L300" t="s">
        <v>22</v>
      </c>
    </row>
    <row r="301" spans="7:12" x14ac:dyDescent="0.25">
      <c r="G301" t="s">
        <v>402</v>
      </c>
      <c r="H301" t="s">
        <v>76</v>
      </c>
      <c r="I301">
        <v>17</v>
      </c>
      <c r="J301" t="s">
        <v>402</v>
      </c>
      <c r="K301">
        <v>30</v>
      </c>
      <c r="L301" t="s">
        <v>22</v>
      </c>
    </row>
    <row r="302" spans="7:12" x14ac:dyDescent="0.25">
      <c r="G302" t="s">
        <v>403</v>
      </c>
      <c r="H302" t="s">
        <v>76</v>
      </c>
      <c r="I302">
        <v>18</v>
      </c>
      <c r="J302" t="s">
        <v>403</v>
      </c>
      <c r="K302">
        <v>30</v>
      </c>
      <c r="L302" t="s">
        <v>22</v>
      </c>
    </row>
    <row r="303" spans="7:12" x14ac:dyDescent="0.25">
      <c r="G303" t="s">
        <v>388</v>
      </c>
      <c r="H303" t="s">
        <v>76</v>
      </c>
      <c r="I303">
        <v>31</v>
      </c>
      <c r="J303" t="s">
        <v>388</v>
      </c>
      <c r="K303">
        <v>60</v>
      </c>
      <c r="L303" t="s">
        <v>22</v>
      </c>
    </row>
    <row r="304" spans="7:12" x14ac:dyDescent="0.25">
      <c r="G304" t="s">
        <v>419</v>
      </c>
      <c r="H304" t="s">
        <v>76</v>
      </c>
      <c r="I304">
        <v>35</v>
      </c>
      <c r="J304" t="s">
        <v>419</v>
      </c>
      <c r="K304">
        <v>60</v>
      </c>
      <c r="L304" t="s">
        <v>22</v>
      </c>
    </row>
    <row r="305" spans="7:12" x14ac:dyDescent="0.25">
      <c r="G305" t="s">
        <v>420</v>
      </c>
      <c r="H305" t="s">
        <v>76</v>
      </c>
      <c r="I305">
        <v>36</v>
      </c>
      <c r="J305" t="s">
        <v>420</v>
      </c>
      <c r="K305">
        <v>60</v>
      </c>
      <c r="L305" t="s">
        <v>22</v>
      </c>
    </row>
    <row r="306" spans="7:12" x14ac:dyDescent="0.25">
      <c r="G306" t="s">
        <v>389</v>
      </c>
      <c r="H306" t="s">
        <v>76</v>
      </c>
      <c r="I306">
        <v>37</v>
      </c>
      <c r="J306" t="s">
        <v>389</v>
      </c>
      <c r="K306">
        <v>60</v>
      </c>
      <c r="L306" t="s">
        <v>22</v>
      </c>
    </row>
    <row r="307" spans="7:12" x14ac:dyDescent="0.25">
      <c r="G307" t="s">
        <v>423</v>
      </c>
      <c r="H307" t="s">
        <v>76</v>
      </c>
      <c r="I307">
        <v>40</v>
      </c>
      <c r="J307" t="s">
        <v>423</v>
      </c>
      <c r="K307">
        <v>60</v>
      </c>
      <c r="L307" t="s">
        <v>22</v>
      </c>
    </row>
    <row r="308" spans="7:12" x14ac:dyDescent="0.25">
      <c r="G308" t="s">
        <v>387</v>
      </c>
      <c r="H308" t="s">
        <v>78</v>
      </c>
      <c r="I308">
        <v>9</v>
      </c>
      <c r="J308" t="s">
        <v>387</v>
      </c>
      <c r="K308">
        <v>30</v>
      </c>
      <c r="L308" t="s">
        <v>22</v>
      </c>
    </row>
    <row r="309" spans="7:12" x14ac:dyDescent="0.25">
      <c r="G309" t="s">
        <v>404</v>
      </c>
      <c r="H309" t="s">
        <v>78</v>
      </c>
      <c r="I309">
        <v>19</v>
      </c>
      <c r="J309" t="s">
        <v>404</v>
      </c>
      <c r="K309">
        <v>30</v>
      </c>
      <c r="L309" t="s">
        <v>22</v>
      </c>
    </row>
    <row r="310" spans="7:12" x14ac:dyDescent="0.25">
      <c r="G310" t="s">
        <v>405</v>
      </c>
      <c r="H310" t="s">
        <v>78</v>
      </c>
      <c r="I310">
        <v>20</v>
      </c>
      <c r="J310" t="s">
        <v>405</v>
      </c>
      <c r="K310">
        <v>30</v>
      </c>
      <c r="L310" t="s">
        <v>22</v>
      </c>
    </row>
    <row r="311" spans="7:12" x14ac:dyDescent="0.25">
      <c r="G311" t="s">
        <v>406</v>
      </c>
      <c r="H311" t="s">
        <v>78</v>
      </c>
      <c r="I311">
        <v>21</v>
      </c>
      <c r="J311" t="s">
        <v>406</v>
      </c>
      <c r="K311">
        <v>30</v>
      </c>
      <c r="L311" t="s">
        <v>22</v>
      </c>
    </row>
    <row r="312" spans="7:12" x14ac:dyDescent="0.25">
      <c r="G312" t="s">
        <v>407</v>
      </c>
      <c r="H312" t="s">
        <v>78</v>
      </c>
      <c r="I312">
        <v>22</v>
      </c>
      <c r="J312" t="s">
        <v>407</v>
      </c>
      <c r="K312">
        <v>30</v>
      </c>
      <c r="L312" t="s">
        <v>22</v>
      </c>
    </row>
    <row r="313" spans="7:12" x14ac:dyDescent="0.25">
      <c r="G313" t="s">
        <v>408</v>
      </c>
      <c r="H313" t="s">
        <v>78</v>
      </c>
      <c r="I313">
        <v>23</v>
      </c>
      <c r="J313" t="s">
        <v>408</v>
      </c>
      <c r="K313">
        <v>30</v>
      </c>
      <c r="L313" t="s">
        <v>22</v>
      </c>
    </row>
    <row r="314" spans="7:12" x14ac:dyDescent="0.25">
      <c r="G314" t="s">
        <v>409</v>
      </c>
      <c r="H314" t="s">
        <v>78</v>
      </c>
      <c r="I314">
        <v>24</v>
      </c>
      <c r="J314" t="s">
        <v>409</v>
      </c>
      <c r="K314">
        <v>30</v>
      </c>
      <c r="L314" t="s">
        <v>22</v>
      </c>
    </row>
    <row r="315" spans="7:12" x14ac:dyDescent="0.25">
      <c r="G315" t="s">
        <v>410</v>
      </c>
      <c r="H315" t="s">
        <v>78</v>
      </c>
      <c r="I315">
        <v>25</v>
      </c>
      <c r="J315" t="s">
        <v>410</v>
      </c>
      <c r="K315">
        <v>30</v>
      </c>
      <c r="L315" t="s">
        <v>22</v>
      </c>
    </row>
    <row r="316" spans="7:12" x14ac:dyDescent="0.25">
      <c r="G316" t="s">
        <v>411</v>
      </c>
      <c r="H316" t="s">
        <v>78</v>
      </c>
      <c r="I316">
        <v>26</v>
      </c>
      <c r="J316" t="s">
        <v>411</v>
      </c>
      <c r="K316">
        <v>30</v>
      </c>
      <c r="L316" t="s">
        <v>22</v>
      </c>
    </row>
    <row r="317" spans="7:12" x14ac:dyDescent="0.25">
      <c r="G317" t="s">
        <v>412</v>
      </c>
      <c r="H317" t="s">
        <v>78</v>
      </c>
      <c r="I317">
        <v>27</v>
      </c>
      <c r="J317" t="s">
        <v>412</v>
      </c>
      <c r="K317">
        <v>30</v>
      </c>
      <c r="L317" t="s">
        <v>22</v>
      </c>
    </row>
    <row r="318" spans="7:12" x14ac:dyDescent="0.25">
      <c r="G318" t="s">
        <v>413</v>
      </c>
      <c r="H318" t="s">
        <v>78</v>
      </c>
      <c r="I318">
        <v>28</v>
      </c>
      <c r="J318" t="s">
        <v>413</v>
      </c>
      <c r="K318">
        <v>30</v>
      </c>
      <c r="L318" t="s">
        <v>22</v>
      </c>
    </row>
    <row r="319" spans="7:12" x14ac:dyDescent="0.25">
      <c r="G319" t="s">
        <v>414</v>
      </c>
      <c r="H319" t="s">
        <v>78</v>
      </c>
      <c r="I319">
        <v>29</v>
      </c>
      <c r="J319" t="s">
        <v>414</v>
      </c>
      <c r="K319">
        <v>30</v>
      </c>
      <c r="L319" t="s">
        <v>22</v>
      </c>
    </row>
    <row r="320" spans="7:12" x14ac:dyDescent="0.25">
      <c r="G320" t="s">
        <v>438</v>
      </c>
      <c r="H320" t="s">
        <v>79</v>
      </c>
      <c r="I320">
        <v>3</v>
      </c>
      <c r="J320" t="s">
        <v>438</v>
      </c>
      <c r="K320">
        <v>30</v>
      </c>
      <c r="L320" t="s">
        <v>22</v>
      </c>
    </row>
    <row r="321" spans="7:12" x14ac:dyDescent="0.25">
      <c r="G321" t="s">
        <v>439</v>
      </c>
      <c r="H321" t="s">
        <v>79</v>
      </c>
      <c r="I321">
        <v>4</v>
      </c>
      <c r="J321" t="s">
        <v>439</v>
      </c>
      <c r="K321">
        <v>30</v>
      </c>
      <c r="L321" t="s">
        <v>22</v>
      </c>
    </row>
    <row r="322" spans="7:12" x14ac:dyDescent="0.25">
      <c r="G322" t="s">
        <v>440</v>
      </c>
      <c r="H322" t="s">
        <v>79</v>
      </c>
      <c r="I322">
        <v>5</v>
      </c>
      <c r="J322" t="s">
        <v>440</v>
      </c>
      <c r="K322">
        <v>30</v>
      </c>
      <c r="L322" t="s">
        <v>22</v>
      </c>
    </row>
    <row r="323" spans="7:12" x14ac:dyDescent="0.25">
      <c r="G323" t="s">
        <v>441</v>
      </c>
      <c r="H323" t="s">
        <v>79</v>
      </c>
      <c r="I323">
        <v>8</v>
      </c>
      <c r="J323" t="s">
        <v>441</v>
      </c>
      <c r="K323">
        <v>30</v>
      </c>
      <c r="L323" t="s">
        <v>22</v>
      </c>
    </row>
    <row r="324" spans="7:12" x14ac:dyDescent="0.25">
      <c r="G324" t="s">
        <v>442</v>
      </c>
      <c r="H324" t="s">
        <v>79</v>
      </c>
      <c r="I324">
        <v>9</v>
      </c>
      <c r="J324" t="s">
        <v>442</v>
      </c>
      <c r="K324">
        <v>30</v>
      </c>
      <c r="L324" t="s">
        <v>22</v>
      </c>
    </row>
    <row r="325" spans="7:12" x14ac:dyDescent="0.25">
      <c r="G325" t="s">
        <v>443</v>
      </c>
      <c r="H325" t="s">
        <v>79</v>
      </c>
      <c r="I325">
        <v>10</v>
      </c>
      <c r="J325" t="s">
        <v>443</v>
      </c>
      <c r="K325">
        <v>30</v>
      </c>
      <c r="L325" t="s">
        <v>22</v>
      </c>
    </row>
    <row r="326" spans="7:12" x14ac:dyDescent="0.25">
      <c r="G326" t="s">
        <v>444</v>
      </c>
      <c r="H326" t="s">
        <v>79</v>
      </c>
      <c r="I326">
        <v>11</v>
      </c>
      <c r="J326" t="s">
        <v>444</v>
      </c>
      <c r="K326">
        <v>30</v>
      </c>
      <c r="L326" t="s">
        <v>22</v>
      </c>
    </row>
    <row r="327" spans="7:12" x14ac:dyDescent="0.25">
      <c r="G327" t="s">
        <v>445</v>
      </c>
      <c r="H327" t="s">
        <v>79</v>
      </c>
      <c r="I327">
        <v>12</v>
      </c>
      <c r="J327" t="s">
        <v>445</v>
      </c>
      <c r="K327">
        <v>60</v>
      </c>
      <c r="L327" t="s">
        <v>22</v>
      </c>
    </row>
    <row r="328" spans="7:12" x14ac:dyDescent="0.25">
      <c r="G328" t="s">
        <v>446</v>
      </c>
      <c r="H328" t="s">
        <v>79</v>
      </c>
      <c r="I328">
        <v>13</v>
      </c>
      <c r="J328" t="s">
        <v>446</v>
      </c>
      <c r="K328">
        <v>60</v>
      </c>
      <c r="L328" t="s">
        <v>22</v>
      </c>
    </row>
    <row r="329" spans="7:12" x14ac:dyDescent="0.25">
      <c r="G329" t="s">
        <v>447</v>
      </c>
      <c r="H329" t="s">
        <v>79</v>
      </c>
      <c r="I329">
        <v>14</v>
      </c>
      <c r="J329" t="s">
        <v>447</v>
      </c>
      <c r="K329">
        <v>60</v>
      </c>
      <c r="L329" t="s">
        <v>22</v>
      </c>
    </row>
    <row r="330" spans="7:12" x14ac:dyDescent="0.25">
      <c r="G330" t="s">
        <v>448</v>
      </c>
      <c r="H330" t="s">
        <v>79</v>
      </c>
      <c r="I330">
        <v>15</v>
      </c>
      <c r="J330" t="s">
        <v>448</v>
      </c>
      <c r="K330">
        <v>30</v>
      </c>
      <c r="L330" t="s">
        <v>22</v>
      </c>
    </row>
    <row r="331" spans="7:12" x14ac:dyDescent="0.25">
      <c r="G331" t="s">
        <v>436</v>
      </c>
      <c r="H331" t="s">
        <v>79</v>
      </c>
      <c r="I331">
        <v>16</v>
      </c>
      <c r="J331" t="s">
        <v>436</v>
      </c>
      <c r="K331">
        <v>30</v>
      </c>
      <c r="L331" t="s">
        <v>22</v>
      </c>
    </row>
    <row r="332" spans="7:12" x14ac:dyDescent="0.25">
      <c r="G332" t="s">
        <v>449</v>
      </c>
      <c r="H332" t="s">
        <v>79</v>
      </c>
      <c r="I332">
        <v>17</v>
      </c>
      <c r="J332" t="s">
        <v>449</v>
      </c>
      <c r="K332">
        <v>60</v>
      </c>
      <c r="L332" t="s">
        <v>22</v>
      </c>
    </row>
    <row r="333" spans="7:12" x14ac:dyDescent="0.25">
      <c r="G333" t="s">
        <v>450</v>
      </c>
      <c r="H333" t="s">
        <v>79</v>
      </c>
      <c r="I333">
        <v>18</v>
      </c>
      <c r="J333" t="s">
        <v>450</v>
      </c>
      <c r="K333">
        <v>60</v>
      </c>
      <c r="L333" t="s">
        <v>22</v>
      </c>
    </row>
    <row r="334" spans="7:12" x14ac:dyDescent="0.25">
      <c r="G334" t="s">
        <v>437</v>
      </c>
      <c r="H334" t="s">
        <v>79</v>
      </c>
      <c r="I334">
        <v>19</v>
      </c>
      <c r="J334" t="s">
        <v>437</v>
      </c>
      <c r="K334">
        <v>60</v>
      </c>
      <c r="L334" t="s">
        <v>22</v>
      </c>
    </row>
    <row r="335" spans="7:12" x14ac:dyDescent="0.25">
      <c r="G335" t="s">
        <v>451</v>
      </c>
      <c r="H335" t="s">
        <v>79</v>
      </c>
      <c r="I335">
        <v>20</v>
      </c>
      <c r="J335" t="s">
        <v>451</v>
      </c>
      <c r="K335">
        <v>60</v>
      </c>
      <c r="L335" t="s">
        <v>22</v>
      </c>
    </row>
    <row r="336" spans="7:12" x14ac:dyDescent="0.25">
      <c r="G336" t="s">
        <v>455</v>
      </c>
      <c r="H336" t="s">
        <v>82</v>
      </c>
      <c r="I336">
        <v>3</v>
      </c>
      <c r="J336" t="s">
        <v>455</v>
      </c>
      <c r="K336">
        <v>30</v>
      </c>
      <c r="L336" t="s">
        <v>22</v>
      </c>
    </row>
    <row r="337" spans="7:12" x14ac:dyDescent="0.25">
      <c r="G337" t="s">
        <v>456</v>
      </c>
      <c r="H337" t="s">
        <v>82</v>
      </c>
      <c r="I337">
        <v>4</v>
      </c>
      <c r="J337" t="s">
        <v>456</v>
      </c>
      <c r="K337">
        <v>30</v>
      </c>
      <c r="L337" t="s">
        <v>22</v>
      </c>
    </row>
    <row r="338" spans="7:12" x14ac:dyDescent="0.25">
      <c r="G338" t="s">
        <v>457</v>
      </c>
      <c r="H338" t="s">
        <v>82</v>
      </c>
      <c r="I338">
        <v>5</v>
      </c>
      <c r="J338" t="s">
        <v>457</v>
      </c>
      <c r="K338">
        <v>30</v>
      </c>
      <c r="L338" t="s">
        <v>22</v>
      </c>
    </row>
    <row r="339" spans="7:12" x14ac:dyDescent="0.25">
      <c r="G339" t="s">
        <v>467</v>
      </c>
      <c r="H339" t="s">
        <v>82</v>
      </c>
      <c r="I339">
        <v>6</v>
      </c>
      <c r="J339" t="s">
        <v>467</v>
      </c>
      <c r="K339">
        <v>30</v>
      </c>
      <c r="L339" t="s">
        <v>22</v>
      </c>
    </row>
    <row r="340" spans="7:12" x14ac:dyDescent="0.25">
      <c r="G340" t="s">
        <v>468</v>
      </c>
      <c r="H340" t="s">
        <v>82</v>
      </c>
      <c r="I340">
        <v>8</v>
      </c>
      <c r="J340" t="s">
        <v>468</v>
      </c>
      <c r="K340">
        <v>30</v>
      </c>
      <c r="L340" t="s">
        <v>22</v>
      </c>
    </row>
    <row r="341" spans="7:12" x14ac:dyDescent="0.25">
      <c r="G341" t="s">
        <v>469</v>
      </c>
      <c r="H341" t="s">
        <v>82</v>
      </c>
      <c r="I341">
        <v>9</v>
      </c>
      <c r="J341" t="s">
        <v>469</v>
      </c>
      <c r="K341">
        <v>30</v>
      </c>
      <c r="L341" t="s">
        <v>22</v>
      </c>
    </row>
    <row r="342" spans="7:12" x14ac:dyDescent="0.25">
      <c r="G342" t="s">
        <v>470</v>
      </c>
      <c r="H342" t="s">
        <v>82</v>
      </c>
      <c r="I342">
        <v>10</v>
      </c>
      <c r="J342" t="s">
        <v>470</v>
      </c>
      <c r="K342">
        <v>30</v>
      </c>
      <c r="L342" t="s">
        <v>22</v>
      </c>
    </row>
    <row r="343" spans="7:12" x14ac:dyDescent="0.25">
      <c r="G343" t="s">
        <v>471</v>
      </c>
      <c r="H343" t="s">
        <v>82</v>
      </c>
      <c r="I343">
        <v>11</v>
      </c>
      <c r="J343" t="s">
        <v>471</v>
      </c>
      <c r="K343">
        <v>30</v>
      </c>
      <c r="L343" t="s">
        <v>22</v>
      </c>
    </row>
    <row r="344" spans="7:12" x14ac:dyDescent="0.25">
      <c r="G344" t="s">
        <v>472</v>
      </c>
      <c r="H344" t="s">
        <v>82</v>
      </c>
      <c r="I344">
        <v>12</v>
      </c>
      <c r="J344" t="s">
        <v>472</v>
      </c>
      <c r="K344">
        <v>30</v>
      </c>
      <c r="L344" t="s">
        <v>22</v>
      </c>
    </row>
    <row r="345" spans="7:12" x14ac:dyDescent="0.25">
      <c r="G345" t="s">
        <v>473</v>
      </c>
      <c r="H345" t="s">
        <v>82</v>
      </c>
      <c r="I345">
        <v>13</v>
      </c>
      <c r="J345" t="s">
        <v>473</v>
      </c>
      <c r="K345">
        <v>30</v>
      </c>
      <c r="L345" t="s">
        <v>22</v>
      </c>
    </row>
    <row r="346" spans="7:12" x14ac:dyDescent="0.25">
      <c r="G346" t="s">
        <v>459</v>
      </c>
      <c r="H346" t="s">
        <v>82</v>
      </c>
      <c r="I346">
        <v>14</v>
      </c>
      <c r="J346" t="s">
        <v>459</v>
      </c>
      <c r="K346">
        <v>60</v>
      </c>
      <c r="L346" t="s">
        <v>22</v>
      </c>
    </row>
    <row r="347" spans="7:12" x14ac:dyDescent="0.25">
      <c r="G347" t="s">
        <v>460</v>
      </c>
      <c r="H347" t="s">
        <v>82</v>
      </c>
      <c r="I347">
        <v>15</v>
      </c>
      <c r="J347" t="s">
        <v>460</v>
      </c>
      <c r="K347">
        <v>60</v>
      </c>
      <c r="L347" t="s">
        <v>22</v>
      </c>
    </row>
    <row r="348" spans="7:12" x14ac:dyDescent="0.25">
      <c r="G348" t="s">
        <v>452</v>
      </c>
      <c r="H348" t="s">
        <v>82</v>
      </c>
      <c r="I348">
        <v>18</v>
      </c>
      <c r="J348" t="s">
        <v>452</v>
      </c>
      <c r="K348">
        <v>60</v>
      </c>
      <c r="L348" t="s">
        <v>22</v>
      </c>
    </row>
    <row r="349" spans="7:12" x14ac:dyDescent="0.25">
      <c r="G349" t="s">
        <v>462</v>
      </c>
      <c r="H349" t="s">
        <v>82</v>
      </c>
      <c r="I349">
        <v>19</v>
      </c>
      <c r="J349" t="s">
        <v>462</v>
      </c>
      <c r="K349">
        <v>60</v>
      </c>
      <c r="L349" t="s">
        <v>22</v>
      </c>
    </row>
    <row r="350" spans="7:12" x14ac:dyDescent="0.25">
      <c r="G350" t="s">
        <v>463</v>
      </c>
      <c r="H350" t="s">
        <v>82</v>
      </c>
      <c r="I350">
        <v>20</v>
      </c>
      <c r="J350" t="s">
        <v>463</v>
      </c>
      <c r="K350">
        <v>60</v>
      </c>
      <c r="L350" t="s">
        <v>22</v>
      </c>
    </row>
    <row r="351" spans="7:12" x14ac:dyDescent="0.25">
      <c r="G351" t="s">
        <v>464</v>
      </c>
      <c r="H351" t="s">
        <v>82</v>
      </c>
      <c r="I351">
        <v>21</v>
      </c>
      <c r="J351" t="s">
        <v>464</v>
      </c>
      <c r="K351">
        <v>60</v>
      </c>
      <c r="L351" t="s">
        <v>22</v>
      </c>
    </row>
    <row r="352" spans="7:12" x14ac:dyDescent="0.25">
      <c r="G352" t="s">
        <v>465</v>
      </c>
      <c r="H352" t="s">
        <v>82</v>
      </c>
      <c r="I352">
        <v>22</v>
      </c>
      <c r="J352" t="s">
        <v>465</v>
      </c>
      <c r="K352">
        <v>60</v>
      </c>
      <c r="L352" t="s">
        <v>22</v>
      </c>
    </row>
    <row r="353" spans="7:12" x14ac:dyDescent="0.25">
      <c r="G353" t="s">
        <v>466</v>
      </c>
      <c r="H353" t="s">
        <v>82</v>
      </c>
      <c r="I353">
        <v>24</v>
      </c>
      <c r="J353" t="s">
        <v>466</v>
      </c>
      <c r="K353">
        <v>60</v>
      </c>
      <c r="L353" t="s">
        <v>22</v>
      </c>
    </row>
    <row r="354" spans="7:12" x14ac:dyDescent="0.25">
      <c r="G354" t="s">
        <v>484</v>
      </c>
      <c r="H354" t="s">
        <v>87</v>
      </c>
      <c r="I354">
        <v>3</v>
      </c>
      <c r="J354" t="s">
        <v>484</v>
      </c>
      <c r="K354">
        <v>30</v>
      </c>
      <c r="L354" t="s">
        <v>22</v>
      </c>
    </row>
    <row r="355" spans="7:12" x14ac:dyDescent="0.25">
      <c r="G355" t="s">
        <v>486</v>
      </c>
      <c r="H355" t="s">
        <v>87</v>
      </c>
      <c r="I355">
        <v>5</v>
      </c>
      <c r="J355" t="s">
        <v>486</v>
      </c>
      <c r="K355">
        <v>30</v>
      </c>
      <c r="L355" t="s">
        <v>22</v>
      </c>
    </row>
    <row r="356" spans="7:12" x14ac:dyDescent="0.25">
      <c r="G356" t="s">
        <v>525</v>
      </c>
      <c r="H356" t="s">
        <v>87</v>
      </c>
      <c r="I356">
        <v>6</v>
      </c>
      <c r="J356" t="s">
        <v>525</v>
      </c>
      <c r="K356">
        <v>30</v>
      </c>
      <c r="L356" t="s">
        <v>22</v>
      </c>
    </row>
    <row r="357" spans="7:12" x14ac:dyDescent="0.25">
      <c r="G357" t="s">
        <v>489</v>
      </c>
      <c r="H357" t="s">
        <v>87</v>
      </c>
      <c r="I357">
        <v>8</v>
      </c>
      <c r="J357" t="s">
        <v>489</v>
      </c>
      <c r="K357">
        <v>30</v>
      </c>
      <c r="L357" t="s">
        <v>22</v>
      </c>
    </row>
    <row r="358" spans="7:12" x14ac:dyDescent="0.25">
      <c r="G358" t="s">
        <v>490</v>
      </c>
      <c r="H358" t="s">
        <v>87</v>
      </c>
      <c r="I358">
        <v>9</v>
      </c>
      <c r="J358" t="s">
        <v>490</v>
      </c>
      <c r="K358">
        <v>30</v>
      </c>
      <c r="L358" t="s">
        <v>22</v>
      </c>
    </row>
    <row r="359" spans="7:12" x14ac:dyDescent="0.25">
      <c r="G359" t="s">
        <v>491</v>
      </c>
      <c r="H359" t="s">
        <v>87</v>
      </c>
      <c r="I359">
        <v>10</v>
      </c>
      <c r="J359" t="s">
        <v>491</v>
      </c>
      <c r="K359">
        <v>30</v>
      </c>
      <c r="L359" t="s">
        <v>22</v>
      </c>
    </row>
    <row r="360" spans="7:12" x14ac:dyDescent="0.25">
      <c r="G360" t="s">
        <v>488</v>
      </c>
      <c r="H360" t="s">
        <v>87</v>
      </c>
      <c r="I360">
        <v>11</v>
      </c>
      <c r="J360" t="s">
        <v>488</v>
      </c>
      <c r="K360">
        <v>60</v>
      </c>
      <c r="L360" t="s">
        <v>22</v>
      </c>
    </row>
    <row r="361" spans="7:12" x14ac:dyDescent="0.25">
      <c r="G361" t="s">
        <v>492</v>
      </c>
      <c r="H361" t="s">
        <v>87</v>
      </c>
      <c r="I361">
        <v>12</v>
      </c>
      <c r="J361" t="s">
        <v>492</v>
      </c>
      <c r="K361">
        <v>60</v>
      </c>
      <c r="L361" t="s">
        <v>22</v>
      </c>
    </row>
    <row r="362" spans="7:12" x14ac:dyDescent="0.25">
      <c r="G362" t="s">
        <v>493</v>
      </c>
      <c r="H362" t="s">
        <v>87</v>
      </c>
      <c r="I362">
        <v>13</v>
      </c>
      <c r="J362" t="s">
        <v>493</v>
      </c>
      <c r="K362">
        <v>60</v>
      </c>
      <c r="L362" t="s">
        <v>22</v>
      </c>
    </row>
    <row r="363" spans="7:12" x14ac:dyDescent="0.25">
      <c r="G363" t="s">
        <v>495</v>
      </c>
      <c r="H363" t="s">
        <v>87</v>
      </c>
      <c r="I363">
        <v>15</v>
      </c>
      <c r="J363" t="s">
        <v>495</v>
      </c>
      <c r="K363">
        <v>60</v>
      </c>
      <c r="L363" t="s">
        <v>22</v>
      </c>
    </row>
    <row r="364" spans="7:12" x14ac:dyDescent="0.25">
      <c r="G364" t="s">
        <v>496</v>
      </c>
      <c r="H364" t="s">
        <v>87</v>
      </c>
      <c r="I364">
        <v>16</v>
      </c>
      <c r="J364" t="s">
        <v>496</v>
      </c>
      <c r="K364">
        <v>30</v>
      </c>
      <c r="L364" t="s">
        <v>22</v>
      </c>
    </row>
    <row r="365" spans="7:12" x14ac:dyDescent="0.25">
      <c r="G365" t="s">
        <v>497</v>
      </c>
      <c r="H365" t="s">
        <v>87</v>
      </c>
      <c r="I365">
        <v>17</v>
      </c>
      <c r="J365" t="s">
        <v>497</v>
      </c>
      <c r="K365">
        <v>30</v>
      </c>
      <c r="L365" t="s">
        <v>22</v>
      </c>
    </row>
    <row r="366" spans="7:12" x14ac:dyDescent="0.25">
      <c r="G366" t="s">
        <v>498</v>
      </c>
      <c r="H366" t="s">
        <v>87</v>
      </c>
      <c r="I366">
        <v>18</v>
      </c>
      <c r="J366" t="s">
        <v>498</v>
      </c>
      <c r="K366">
        <v>30</v>
      </c>
      <c r="L366" t="s">
        <v>22</v>
      </c>
    </row>
    <row r="367" spans="7:12" x14ac:dyDescent="0.25">
      <c r="G367" t="s">
        <v>499</v>
      </c>
      <c r="H367" t="s">
        <v>87</v>
      </c>
      <c r="I367">
        <v>19</v>
      </c>
      <c r="J367" t="s">
        <v>499</v>
      </c>
      <c r="K367">
        <v>30</v>
      </c>
      <c r="L367" t="s">
        <v>22</v>
      </c>
    </row>
    <row r="368" spans="7:12" x14ac:dyDescent="0.25">
      <c r="G368" t="s">
        <v>500</v>
      </c>
      <c r="H368" t="s">
        <v>87</v>
      </c>
      <c r="I368">
        <v>20</v>
      </c>
      <c r="J368" t="s">
        <v>500</v>
      </c>
      <c r="K368">
        <v>30</v>
      </c>
      <c r="L368" t="s">
        <v>22</v>
      </c>
    </row>
    <row r="369" spans="7:12" x14ac:dyDescent="0.25">
      <c r="G369" t="s">
        <v>217</v>
      </c>
      <c r="H369" t="s">
        <v>59</v>
      </c>
      <c r="I369">
        <v>3</v>
      </c>
      <c r="J369" t="s">
        <v>217</v>
      </c>
      <c r="K369">
        <v>30</v>
      </c>
      <c r="L369" t="s">
        <v>22</v>
      </c>
    </row>
    <row r="370" spans="7:12" x14ac:dyDescent="0.25">
      <c r="G370" t="s">
        <v>218</v>
      </c>
      <c r="H370" t="s">
        <v>59</v>
      </c>
      <c r="I370">
        <v>4</v>
      </c>
      <c r="J370" t="s">
        <v>218</v>
      </c>
      <c r="K370">
        <v>30</v>
      </c>
      <c r="L370" t="s">
        <v>22</v>
      </c>
    </row>
    <row r="371" spans="7:12" x14ac:dyDescent="0.25">
      <c r="G371" t="s">
        <v>219</v>
      </c>
      <c r="H371" t="s">
        <v>59</v>
      </c>
      <c r="I371">
        <v>5</v>
      </c>
      <c r="J371" t="s">
        <v>219</v>
      </c>
      <c r="K371">
        <v>30</v>
      </c>
      <c r="L371" t="s">
        <v>22</v>
      </c>
    </row>
    <row r="372" spans="7:12" x14ac:dyDescent="0.25">
      <c r="G372" t="s">
        <v>220</v>
      </c>
      <c r="H372" t="s">
        <v>59</v>
      </c>
      <c r="I372">
        <v>6</v>
      </c>
      <c r="J372" t="s">
        <v>220</v>
      </c>
      <c r="K372">
        <v>30</v>
      </c>
      <c r="L372" t="s">
        <v>22</v>
      </c>
    </row>
    <row r="373" spans="7:12" x14ac:dyDescent="0.25">
      <c r="G373" t="s">
        <v>221</v>
      </c>
      <c r="H373" t="s">
        <v>59</v>
      </c>
      <c r="I373">
        <v>7</v>
      </c>
      <c r="J373" t="s">
        <v>221</v>
      </c>
      <c r="K373">
        <v>30</v>
      </c>
      <c r="L373" t="s">
        <v>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G48"/>
  <sheetViews>
    <sheetView topLeftCell="AF16" workbookViewId="0">
      <selection activeCell="AH1" sqref="AH1:AH1048576"/>
    </sheetView>
  </sheetViews>
  <sheetFormatPr defaultRowHeight="15" x14ac:dyDescent="0.25"/>
  <cols>
    <col min="3" max="3" width="44.140625" bestFit="1" customWidth="1"/>
    <col min="7" max="7" width="46" bestFit="1" customWidth="1"/>
    <col min="11" max="11" width="46" bestFit="1" customWidth="1"/>
    <col min="15" max="15" width="46" bestFit="1" customWidth="1"/>
    <col min="19" max="19" width="46" bestFit="1" customWidth="1"/>
    <col min="23" max="23" width="46" bestFit="1" customWidth="1"/>
    <col min="27" max="27" width="46" bestFit="1" customWidth="1"/>
    <col min="31" max="31" width="46" bestFit="1" customWidth="1"/>
    <col min="35" max="35" width="50.5703125" bestFit="1" customWidth="1"/>
    <col min="39" max="39" width="56.7109375" bestFit="1" customWidth="1"/>
    <col min="43" max="43" width="45.42578125" bestFit="1" customWidth="1"/>
    <col min="47" max="47" width="55.5703125" bestFit="1" customWidth="1"/>
    <col min="51" max="51" width="54.5703125" bestFit="1" customWidth="1"/>
    <col min="55" max="55" width="43.28515625" bestFit="1" customWidth="1"/>
    <col min="59" max="59" width="40.28515625" bestFit="1" customWidth="1"/>
    <col min="63" max="63" width="31.28515625" bestFit="1" customWidth="1"/>
    <col min="67" max="67" width="43.85546875" bestFit="1" customWidth="1"/>
    <col min="71" max="71" width="43.85546875" bestFit="1" customWidth="1"/>
    <col min="75" max="75" width="39.5703125" bestFit="1" customWidth="1"/>
    <col min="79" max="79" width="33.140625" bestFit="1" customWidth="1"/>
    <col min="83" max="83" width="39.5703125" bestFit="1" customWidth="1"/>
    <col min="87" max="87" width="41.5703125" bestFit="1" customWidth="1"/>
    <col min="91" max="91" width="30.85546875" bestFit="1" customWidth="1"/>
    <col min="95" max="95" width="47.140625" bestFit="1" customWidth="1"/>
    <col min="99" max="99" width="54.7109375" bestFit="1" customWidth="1"/>
    <col min="103" max="103" width="51.42578125" bestFit="1" customWidth="1"/>
    <col min="107" max="107" width="30.42578125" bestFit="1" customWidth="1"/>
  </cols>
  <sheetData>
    <row r="1" spans="1:111" x14ac:dyDescent="0.25">
      <c r="A1" t="s">
        <v>516</v>
      </c>
      <c r="E1" t="s">
        <v>517</v>
      </c>
      <c r="I1" t="s">
        <v>146</v>
      </c>
      <c r="M1" t="s">
        <v>147</v>
      </c>
      <c r="Q1" t="s">
        <v>148</v>
      </c>
      <c r="U1" t="s">
        <v>149</v>
      </c>
      <c r="Y1" t="s">
        <v>150</v>
      </c>
      <c r="AC1" t="s">
        <v>151</v>
      </c>
      <c r="AG1" t="s">
        <v>53</v>
      </c>
      <c r="AK1" t="s">
        <v>518</v>
      </c>
      <c r="AO1" t="s">
        <v>60</v>
      </c>
      <c r="AS1" t="s">
        <v>521</v>
      </c>
      <c r="AW1" t="s">
        <v>69</v>
      </c>
      <c r="BA1" t="s">
        <v>522</v>
      </c>
      <c r="BE1" t="s">
        <v>73</v>
      </c>
      <c r="BI1" t="s">
        <v>523</v>
      </c>
      <c r="BM1" t="s">
        <v>524</v>
      </c>
      <c r="BQ1" t="s">
        <v>426</v>
      </c>
      <c r="BU1" t="s">
        <v>427</v>
      </c>
      <c r="BY1" t="s">
        <v>428</v>
      </c>
      <c r="CC1" t="s">
        <v>429</v>
      </c>
      <c r="CG1" t="s">
        <v>430</v>
      </c>
      <c r="CK1" t="s">
        <v>431</v>
      </c>
      <c r="CO1" t="s">
        <v>79</v>
      </c>
      <c r="CS1" t="s">
        <v>82</v>
      </c>
      <c r="CW1" t="s">
        <v>87</v>
      </c>
      <c r="DA1" t="s">
        <v>526</v>
      </c>
      <c r="DE1" t="s">
        <v>527</v>
      </c>
    </row>
    <row r="2" spans="1:111" x14ac:dyDescent="0.25">
      <c r="A2" t="s">
        <v>24</v>
      </c>
      <c r="B2">
        <f>IF(COUNTIF('Ext Cert'!$E$20:$E$83,A2)&gt;=1,"",ROW())</f>
        <v>2</v>
      </c>
      <c r="C2" t="str">
        <f>IF(ROW(A2)-ROW(A$2)+1&gt;COUNT(B$2:B$50),"",INDEX(A:A,SMALL(B$2:B$50,1+ROW(A2)-ROW(A$2))))</f>
        <v>Practical Scientific Project</v>
      </c>
      <c r="E2" t="s">
        <v>113</v>
      </c>
      <c r="F2">
        <f>IF(OR(COUNTIF('Ext Cert'!$E$20:$E$83,E2)&gt;=1,COUNTIF('Ext Cert'!$E$20:$E$83,E8)&gt;=1,COUNTIF('Ext Cert'!$E$20:$E$83,E10)&gt;=1,COUNTIF('Ext Cert'!$E$20:$E$83,E18)&gt;=1),"",ROW())</f>
        <v>2</v>
      </c>
      <c r="G2" t="str">
        <f>IF(ROW(E2)-ROW(E$2)+1&gt;COUNT(F$2:F$50),"",INDEX(E:E,SMALL(F$2:F$50,1+ROW(E2)-ROW(E$2))))</f>
        <v>Communicating Ideas in 2D</v>
      </c>
      <c r="I2" t="s">
        <v>113</v>
      </c>
      <c r="J2">
        <f>IF(OR(COUNTIF('Ext Cert'!$E$20:$E$83,I2)&gt;=1,COUNTIF('Ext Cert'!$E$20:$E$83,I9)&gt;=1),"",ROW())</f>
        <v>2</v>
      </c>
      <c r="K2" t="str">
        <f t="shared" ref="K2" si="0">IF(ROW(I2)-ROW(I$2)+1&gt;COUNT(J$2:J$50),"",INDEX(I:I,SMALL(J$2:J$50,1+ROW(I2)-ROW(I$2))))</f>
        <v>Communicating Ideas in 2D</v>
      </c>
      <c r="M2" t="s">
        <v>113</v>
      </c>
      <c r="N2">
        <f>IF(COUNTIF('Ext Cert'!$E$20:$E$83,M2)&gt;=1,"",ROW())</f>
        <v>2</v>
      </c>
      <c r="O2" t="str">
        <f t="shared" ref="O2" si="1">IF(ROW(M2)-ROW(M$2)+1&gt;COUNT(N$2:N$50),"",INDEX(M:M,SMALL(N$2:N$50,1+ROW(M2)-ROW(M$2))))</f>
        <v>Communicating Ideas in 2D</v>
      </c>
      <c r="Q2" t="s">
        <v>113</v>
      </c>
      <c r="R2">
        <f>IF(COUNTIF('Ext Cert'!$E$20:$E$83,Q2)&gt;=1,"",ROW())</f>
        <v>2</v>
      </c>
      <c r="S2" t="str">
        <f t="shared" ref="S2" si="2">IF(ROW(Q2)-ROW(Q$2)+1&gt;COUNT(R$2:R$50),"",INDEX(Q:Q,SMALL(R$2:R$50,1+ROW(Q2)-ROW(Q$2))))</f>
        <v>Communicating Ideas in 2D</v>
      </c>
      <c r="U2" t="s">
        <v>113</v>
      </c>
      <c r="V2">
        <f>IF(OR(COUNTIF('Ext Cert'!$E$20:$E$83,U2)&gt;=1,COUNTIF('Ext Cert'!$E$20:$E$83,U7)&gt;=1),"",ROW())</f>
        <v>2</v>
      </c>
      <c r="W2" t="str">
        <f t="shared" ref="W2" si="3">IF(ROW(U2)-ROW(U$2)+1&gt;COUNT(V$2:V$50),"",INDEX(U:U,SMALL(V$2:V$50,1+ROW(U2)-ROW(U$2))))</f>
        <v>Communicating Ideas in 2D</v>
      </c>
      <c r="Y2" t="s">
        <v>108</v>
      </c>
      <c r="Z2">
        <f>IF(COUNTIF('Ext Cert'!$E$20:$E$83,Y2)&gt;=1,"",ROW())</f>
        <v>2</v>
      </c>
      <c r="AA2" t="str">
        <f t="shared" ref="AA2" si="4">IF(ROW(Y2)-ROW(Y$2)+1&gt;COUNT(Z$2:Z$50),"",INDEX(Y:Y,SMALL(Z$2:Z$50,1+ROW(Y2)-ROW(Y$2))))</f>
        <v>Developing an Art and Design Portfolio</v>
      </c>
      <c r="AC2" t="s">
        <v>114</v>
      </c>
      <c r="AD2">
        <f>IF(OR(COUNTIF('Ext Cert'!$E$20:$E$83,AC2)&gt;=1,COUNTIF('Ext Cert'!$E$20:$E$83,AC6)&gt;=1,COUNTIF('Ext Cert'!$E$20:$E$83,AC20)&gt;=1),"",ROW())</f>
        <v>2</v>
      </c>
      <c r="AE2" t="str">
        <f t="shared" ref="AE2" si="5">IF(ROW(AC2)-ROW(AC$2)+1&gt;COUNT(AD$2:AD$50),"",INDEX(AC:AC,SMALL(AD$2:AD$50,1+ROW(AC2)-ROW(AC$2))))</f>
        <v>Communicating Ideas in 3D</v>
      </c>
      <c r="AG2" t="s">
        <v>154</v>
      </c>
      <c r="AH2">
        <f>IF(COUNTIF('Ext Cert'!$E$20:$E$83,AG2)&gt;=1,"",ROW())</f>
        <v>2</v>
      </c>
      <c r="AI2" t="str">
        <f t="shared" ref="AI2" si="6">IF(ROW(AG2)-ROW(AG$2)+1&gt;COUNT(AH$2:AH$50),"",INDEX(AG:AG,SMALL(AH$2:AH$50,1+ROW(AG2)-ROW(AG$2))))</f>
        <v>Promoting a Brand</v>
      </c>
      <c r="AK2" t="s">
        <v>187</v>
      </c>
      <c r="AL2">
        <f>IF(COUNTIF('Ext Cert'!$E$20:$E$83,AK2)&gt;=1,"",ROW())</f>
        <v>2</v>
      </c>
      <c r="AM2" t="str">
        <f t="shared" ref="AM2" si="7">IF(ROW(AK2)-ROW(AK$2)+1&gt;COUNT(AL$2:AL$50),"",INDEX(AK:AK,SMALL(AL$2:AL$50,1+ROW(AK2)-ROW(AK$2))))</f>
        <v>Construction Processes and Operations</v>
      </c>
      <c r="AO2" t="s">
        <v>236</v>
      </c>
      <c r="AP2">
        <f>IF(COUNTIF('Ext Cert'!$E$20:$E$83,AO2)&gt;=1,"",ROW())</f>
        <v>2</v>
      </c>
      <c r="AQ2" t="str">
        <f t="shared" ref="AQ2" si="8">IF(ROW(AO2)-ROW(AO$2)+1&gt;COUNT(AP$2:AP$50),"",INDEX(AO:AO,SMALL(AP$2:AP$50,1+ROW(AO2)-ROW(AO$2))))</f>
        <v>Health and Safety in Engineering</v>
      </c>
      <c r="AS2" t="s">
        <v>294</v>
      </c>
      <c r="AT2">
        <f>IF(COUNTIF('Ext Cert'!$E$20:$E$83,AS2)&gt;=1,"",ROW())</f>
        <v>2</v>
      </c>
      <c r="AU2" t="str">
        <f t="shared" ref="AU2" si="9">IF(ROW(AS2)-ROW(AS$2)+1&gt;COUNT(AT$2:AT$50),"",INDEX(AS:AS,SMALL(AT$2:AT$50,1+ROW(AS2)-ROW(AS$2))))</f>
        <v>Social Influences on Health and Wellbeing</v>
      </c>
      <c r="AW2" t="s">
        <v>310</v>
      </c>
      <c r="AX2">
        <f>IF(COUNTIF('Ext Cert'!$E$20:$E$83,AW2)&gt;=1,"",ROW())</f>
        <v>2</v>
      </c>
      <c r="AY2" t="str">
        <f t="shared" ref="AY2" si="10">IF(ROW(AW2)-ROW(AW$2)+1&gt;COUNT(AX$2:AX$50),"",INDEX(AW:AW,SMALL(AX$2:AX$50,1+ROW(AW2)-ROW(AW$2))))</f>
        <v>Costing and Controlling Finances in the Hospitality Industry</v>
      </c>
      <c r="BA2" t="s">
        <v>344</v>
      </c>
      <c r="BB2">
        <f>IF(COUNTIF('Ext Cert'!$E$20:$E$83,BA2)&gt;=1,"",ROW())</f>
        <v>2</v>
      </c>
      <c r="BC2" t="str">
        <f t="shared" ref="BC2" si="11">IF(ROW(BA2)-ROW(BA$2)+1&gt;COUNT(BB$2:BB$50),"",INDEX(BA:BA,SMALL(BB$2:BB$50,1+ROW(BA2)-ROW(BA$2))))</f>
        <v>Creating Digital Animation</v>
      </c>
      <c r="BE2" t="s">
        <v>362</v>
      </c>
      <c r="BF2">
        <f>IF(COUNTIF('Ext Cert'!$E$20:$E$83,BE2)&gt;=1,"",ROW())</f>
        <v>2</v>
      </c>
      <c r="BG2" t="str">
        <f t="shared" ref="BG2" si="12">IF(ROW(BE2)-ROW(BE$2)+1&gt;COUNT(BF$2:BF$50),"",INDEX(BE:BE,SMALL(BF$2:BF$50,1+ROW(BE2)-ROW(BE$2))))</f>
        <v>Introducing Live Sound</v>
      </c>
      <c r="BI2" t="s">
        <v>390</v>
      </c>
      <c r="BJ2">
        <f>IF(COUNTIF('Ext Cert'!$E$20:$E$83,BI2)&gt;=1,"",ROW())</f>
        <v>2</v>
      </c>
      <c r="BK2" t="str">
        <f t="shared" ref="BK2" si="13">IF(ROW(BI2)-ROW(BI$2)+1&gt;COUNT(BJ$2:BJ$50),"",INDEX(BI:BI,SMALL(BJ$2:BJ$50,1+ROW(BI2)-ROW(BI$2))))</f>
        <v>Acting Skills</v>
      </c>
      <c r="BM2" t="s">
        <v>387</v>
      </c>
      <c r="BN2">
        <f>IF(COUNTIF('Ext Cert'!$E$20:$E$83,BM2)&gt;=1,"",ROW())</f>
        <v>2</v>
      </c>
      <c r="BO2" t="str">
        <f t="shared" ref="BO2" si="14">IF(ROW(BM2)-ROW(BM$2)+1&gt;COUNT(BN$2:BN$50),"",INDEX(BM:BM,SMALL(BN$2:BN$50,1+ROW(BM2)-ROW(BM$2))))</f>
        <v>Performance in Context</v>
      </c>
      <c r="BQ2" t="s">
        <v>387</v>
      </c>
      <c r="BR2">
        <f>IF(COUNTIF('Ext Cert'!$E$20:$E$83,BQ2)&gt;=1,"",ROW())</f>
        <v>2</v>
      </c>
      <c r="BS2" t="str">
        <f t="shared" ref="BS2" si="15">IF(ROW(BQ2)-ROW(BQ$2)+1&gt;COUNT(BR$2:BR$50),"",INDEX(BQ:BQ,SMALL(BR$2:BR$50,1+ROW(BQ2)-ROW(BQ$2))))</f>
        <v>Performance in Context</v>
      </c>
      <c r="BU2" t="s">
        <v>401</v>
      </c>
      <c r="BV2">
        <f>IF(COUNTIF('Ext Cert'!$E$20:$E$83,BU2)&gt;=1,"",ROW())</f>
        <v>2</v>
      </c>
      <c r="BW2" t="str">
        <f t="shared" ref="BW2" si="16">IF(ROW(BU2)-ROW(BU$2)+1&gt;COUNT(BV$2:BV$50),"",INDEX(BU:BU,SMALL(BV$2:BV$50,1+ROW(BU2)-ROW(BU$2))))</f>
        <v>Contemporary Dance Techniques</v>
      </c>
      <c r="BY2" t="s">
        <v>387</v>
      </c>
      <c r="BZ2">
        <f>IF(COUNTIF('Ext Cert'!$E$20:$E$83,BY2)&gt;=1,"",ROW())</f>
        <v>2</v>
      </c>
      <c r="CA2" t="str">
        <f t="shared" ref="CA2" si="17">IF(ROW(BY2)-ROW(BY$2)+1&gt;COUNT(BZ$2:BZ$50),"",INDEX(BY:BY,SMALL(BZ$2:BZ$50,1+ROW(BY2)-ROW(BY$2))))</f>
        <v>Performance in Context</v>
      </c>
      <c r="CC2" t="s">
        <v>399</v>
      </c>
      <c r="CD2">
        <f>IF(COUNTIF('Ext Cert'!$E$20:$E$83,CC2)&gt;=1,"",ROW())</f>
        <v>2</v>
      </c>
      <c r="CE2" t="str">
        <f t="shared" ref="CE2" si="18">IF(ROW(CC2)-ROW(CC$2)+1&gt;COUNT(CD$2:CD$50),"",INDEX(CC:CC,SMALL(CD$2:CD$50,1+ROW(CC2)-ROW(CC$2))))</f>
        <v>Voice and Speech for Performers</v>
      </c>
      <c r="CG2" t="s">
        <v>387</v>
      </c>
      <c r="CH2">
        <f>IF(COUNTIF('Ext Cert'!$E$20:$E$83,CG2)&gt;=1,"",ROW())</f>
        <v>2</v>
      </c>
      <c r="CI2" t="str">
        <f t="shared" ref="CI2" si="19">IF(ROW(CG2)-ROW(CG$2)+1&gt;COUNT(CH$2:CH$50),"",INDEX(CG:CG,SMALL(CH$2:CH$50,1+ROW(CG2)-ROW(CG$2))))</f>
        <v>Performance in Context</v>
      </c>
      <c r="CK2" t="s">
        <v>395</v>
      </c>
      <c r="CL2">
        <f>IF(COUNTIF('Ext Cert'!$E$20:$E$83,CK2)&gt;=1,"",ROW())</f>
        <v>2</v>
      </c>
      <c r="CM2" t="str">
        <f t="shared" ref="CM2" si="20">IF(ROW(CK2)-ROW(CK$2)+1&gt;COUNT(CL$2:CL$50),"",INDEX(CK:CK,SMALL(CL$2:CL$50,1+ROW(CK2)-ROW(CK$2))))</f>
        <v>Movement Skills</v>
      </c>
      <c r="CO2" t="s">
        <v>438</v>
      </c>
      <c r="CP2">
        <f>IF(COUNTIF('Ext Cert'!$E$20:$E$83,CO2)&gt;=1,"",ROW())</f>
        <v>2</v>
      </c>
      <c r="CQ2" t="str">
        <f t="shared" ref="CQ2" si="21">IF(ROW(CO2)-ROW(CO$2)+1&gt;COUNT(CP$2:CP$50),"",INDEX(CO:CO,SMALL(CP$2:CP$50,1+ROW(CO2)-ROW(CO$2))))</f>
        <v>Employment in the Public Services</v>
      </c>
      <c r="CS2" t="s">
        <v>455</v>
      </c>
      <c r="CT2">
        <f>IF(COUNTIF('Ext Cert'!$E$20:$E$83,CS2)&gt;=1,"",ROW())</f>
        <v>2</v>
      </c>
      <c r="CU2" t="str">
        <f t="shared" ref="CU2" si="22">IF(ROW(CS2)-ROW(CS$2)+1&gt;COUNT(CT$2:CT$50),"",INDEX(CS:CS,SMALL(CT$2:CT$50,1+ROW(CS2)-ROW(CS$2))))</f>
        <v>The Mind and Sports Performance</v>
      </c>
      <c r="CW2" t="s">
        <v>484</v>
      </c>
      <c r="CX2">
        <f>IF(COUNTIF('Ext Cert'!$E$20:$E$83,CW2)&gt;=1,"",ROW())</f>
        <v>2</v>
      </c>
      <c r="CY2" t="str">
        <f t="shared" ref="CY2" si="23">IF(ROW(CW2)-ROW(CW$2)+1&gt;COUNT(CX$2:CX$50),"",INDEX(CW:CW,SMALL(CX$2:CX$50,1+ROW(CW2)-ROW(CW$2))))</f>
        <v>The Development of Travel and Tourism in the UK</v>
      </c>
      <c r="DA2" t="s">
        <v>217</v>
      </c>
      <c r="DB2">
        <f>IF(COUNTIF('Ext Cert'!$E$20:$E$83,DA2)&gt;=1,"",ROW())</f>
        <v>2</v>
      </c>
      <c r="DC2" t="str">
        <f t="shared" ref="DC2" si="24">IF(ROW(DA2)-ROW(DA$2)+1&gt;COUNT(DB$2:DB$50),"",INDEX(DA:DA,SMALL(DB$2:DB$50,1+ROW(DA2)-ROW(DA$2))))</f>
        <v>Digital Moving Image Production</v>
      </c>
      <c r="DE2" t="s">
        <v>222</v>
      </c>
      <c r="DF2">
        <f>IF(COUNTIF('Ext Cert'!$E$20:$E$83,DE2)&gt;=1,"",ROW())</f>
        <v>2</v>
      </c>
      <c r="DG2" t="str">
        <f t="shared" ref="DG2" si="25">IF(ROW(DE2)-ROW(DE$2)+1&gt;COUNT(DF$2:DF$50),"",INDEX(DE:DE,SMALL(DF$2:DF$50,1+ROW(DE2)-ROW(DE$2))))</f>
        <v>Digital Editing for Moving Image</v>
      </c>
    </row>
    <row r="3" spans="1:111" x14ac:dyDescent="0.25">
      <c r="A3" t="s">
        <v>25</v>
      </c>
      <c r="B3">
        <f>IF(COUNTIF('Ext Cert'!$E$20:$E$83,A3)&gt;=1,"",ROW())</f>
        <v>3</v>
      </c>
      <c r="C3" t="str">
        <f t="shared" ref="C3:C17" si="26">IF(ROW(A3)-ROW(A$2)+1&gt;COUNT(B$2:B$50),"",INDEX(A:A,SMALL(B$2:B$50,1+ROW(A3)-ROW(A$2))))</f>
        <v>World Energy</v>
      </c>
      <c r="E3" t="s">
        <v>114</v>
      </c>
      <c r="F3">
        <f>IF(OR(COUNTIF('Ext Cert'!$E$20:$E$83,E3)&gt;=1,COUNTIF('Ext Cert'!$E$20:$E$83,E6)&gt;=1,COUNTIF('Ext Cert'!$E$20:$E$83,E10)&gt;=1,COUNTIF('Ext Cert'!$E$20:$E$83,E15)&gt;=1,COUNTIF('Ext Cert'!$E$20:$E$83,E19)&gt;=1,COUNTIF('Ext Cert'!$E$20:$E$83,E37)&gt;=1),"",ROW())</f>
        <v>3</v>
      </c>
      <c r="G3" t="str">
        <f t="shared" ref="G3:G37" si="27">IF(ROW(E3)-ROW(E$2)+1&gt;COUNT(F$2:F$50),"",INDEX(E:E,SMALL(F$2:F$50,1+ROW(E3)-ROW(E$2))))</f>
        <v>Communicating Ideas in 3D</v>
      </c>
      <c r="I3" t="s">
        <v>108</v>
      </c>
      <c r="J3">
        <f>IF(COUNTIF('Ext Cert'!$E$20:$E$83,I3)&gt;=1,"",ROW())</f>
        <v>3</v>
      </c>
      <c r="K3" t="str">
        <f t="shared" ref="K3:K9" si="28">IF(ROW(I3)-ROW(I$2)+1&gt;COUNT(J$2:J$50),"",INDEX(I:I,SMALL(J$2:J$50,1+ROW(I3)-ROW(I$2))))</f>
        <v>Developing an Art and Design Portfolio</v>
      </c>
      <c r="M3" t="s">
        <v>108</v>
      </c>
      <c r="N3">
        <f>IF(COUNTIF('Ext Cert'!$E$20:$E$83,M3)&gt;=1,"",ROW())</f>
        <v>3</v>
      </c>
      <c r="O3" t="str">
        <f t="shared" ref="O3:O12" si="29">IF(ROW(M3)-ROW(M$2)+1&gt;COUNT(N$2:N$50),"",INDEX(M:M,SMALL(N$2:N$50,1+ROW(M3)-ROW(M$2))))</f>
        <v>Developing an Art and Design Portfolio</v>
      </c>
      <c r="Q3" t="s">
        <v>114</v>
      </c>
      <c r="R3">
        <f>IF(OR(COUNTIF('Ext Cert'!$E$20:$E$83,Q3)&gt;=1,COUNTIF('Ext Cert'!$E$20:$E$83,Q11)&gt;=1),"",ROW())</f>
        <v>3</v>
      </c>
      <c r="S3" t="str">
        <f t="shared" ref="S3:S14" si="30">IF(ROW(Q3)-ROW(Q$2)+1&gt;COUNT(R$2:R$50),"",INDEX(Q:Q,SMALL(R$2:R$50,1+ROW(Q3)-ROW(Q$2))))</f>
        <v>Communicating Ideas in 3D</v>
      </c>
      <c r="U3" t="s">
        <v>114</v>
      </c>
      <c r="V3">
        <f>IF(COUNTIF('Ext Cert'!$E$20:$E$83,U3)&gt;=1,"",ROW())</f>
        <v>3</v>
      </c>
      <c r="W3" t="str">
        <f t="shared" ref="W3:W12" si="31">IF(ROW(U3)-ROW(U$2)+1&gt;COUNT(V$2:V$50),"",INDEX(U:U,SMALL(V$2:V$50,1+ROW(U3)-ROW(U$2))))</f>
        <v>Communicating Ideas in 3D</v>
      </c>
      <c r="Y3" t="s">
        <v>115</v>
      </c>
      <c r="Z3">
        <f>IF(COUNTIF('Ext Cert'!$E$20:$E$83,Y3)&gt;=1,"",ROW())</f>
        <v>3</v>
      </c>
      <c r="AA3" t="str">
        <f t="shared" ref="AA3:AA11" si="32">IF(ROW(Y3)-ROW(Y$2)+1&gt;COUNT(Z$2:Z$50),"",INDEX(Y:Y,SMALL(Z$2:Z$50,1+ROW(Y3)-ROW(Y$2))))</f>
        <v>Using Mobile Devices in Art and Design</v>
      </c>
      <c r="AC3" t="s">
        <v>108</v>
      </c>
      <c r="AD3">
        <f>IF(COUNTIF('Ext Cert'!$E$20:$E$83,AC3)&gt;=1,"",ROW())</f>
        <v>3</v>
      </c>
      <c r="AE3" t="str">
        <f t="shared" ref="AE3:AE20" si="33">IF(ROW(AC3)-ROW(AC$2)+1&gt;COUNT(AD$2:AD$50),"",INDEX(AC:AC,SMALL(AD$2:AD$50,1+ROW(AC3)-ROW(AC$2))))</f>
        <v>Developing an Art and Design Portfolio</v>
      </c>
      <c r="AG3" t="s">
        <v>158</v>
      </c>
      <c r="AH3">
        <f>IF(COUNTIF('Ext Cert'!$E$20:$E$83,AG3)&gt;=1,"",ROW())</f>
        <v>3</v>
      </c>
      <c r="AI3" t="str">
        <f t="shared" ref="AI3:AI30" si="34">IF(ROW(AG3)-ROW(AG$2)+1&gt;COUNT(AH$2:AH$50),"",INDEX(AG:AG,SMALL(AH$2:AH$50,1+ROW(AG3)-ROW(AG$2))))</f>
        <v>Principles of Customer Services</v>
      </c>
      <c r="AK3" t="s">
        <v>190</v>
      </c>
      <c r="AL3">
        <f>IF(COUNTIF('Ext Cert'!$E$20:$E$83,AK3)&gt;=1,"",ROW())</f>
        <v>3</v>
      </c>
      <c r="AM3" t="str">
        <f t="shared" ref="AM3:AM22" si="35">IF(ROW(AK3)-ROW(AK$2)+1&gt;COUNT(AL$2:AL$50),"",INDEX(AK:AK,SMALL(AL$2:AL$50,1+ROW(AK3)-ROW(AK$2))))</f>
        <v>Construction Drawing Techniques</v>
      </c>
      <c r="AO3" t="s">
        <v>66</v>
      </c>
      <c r="AP3">
        <f>IF(COUNTIF('Ext Cert'!$E$20:$E$83,AO3)&gt;=1,"",ROW())</f>
        <v>3</v>
      </c>
      <c r="AQ3" t="str">
        <f t="shared" ref="AQ3:AQ17" si="36">IF(ROW(AO3)-ROW(AO$2)+1&gt;COUNT(AP$2:AP$50),"",INDEX(AO:AO,SMALL(AP$2:AP$50,1+ROW(AO3)-ROW(AO$2))))</f>
        <v>Engineering Maintenance</v>
      </c>
      <c r="AS3" t="s">
        <v>295</v>
      </c>
      <c r="AT3">
        <f>IF(COUNTIF('Ext Cert'!$E$20:$E$83,AS3)&gt;=1,"",ROW())</f>
        <v>3</v>
      </c>
      <c r="AU3" t="str">
        <f t="shared" ref="AU3:AU17" si="37">IF(ROW(AS3)-ROW(AS$2)+1&gt;COUNT(AT$2:AT$50),"",INDEX(AS:AS,SMALL(AT$2:AT$50,1+ROW(AS3)-ROW(AS$2))))</f>
        <v>Promoting Health and Wellbeing</v>
      </c>
      <c r="AW3" t="s">
        <v>311</v>
      </c>
      <c r="AX3">
        <f>IF(COUNTIF('Ext Cert'!$E$20:$E$83,AW3)&gt;=1,"",ROW())</f>
        <v>3</v>
      </c>
      <c r="AY3" t="str">
        <f t="shared" ref="AY3:AY16" si="38">IF(ROW(AW3)-ROW(AW$2)+1&gt;COUNT(AX$2:AX$50),"",INDEX(AW:AW,SMALL(AX$2:AX$50,1+ROW(AW3)-ROW(AW$2))))</f>
        <v>Enterprise in the Hospitality Industry</v>
      </c>
      <c r="BA3" t="s">
        <v>345</v>
      </c>
      <c r="BB3">
        <f>IF(COUNTIF('Ext Cert'!$E$20:$E$83,BA3)&gt;=1,"",ROW())</f>
        <v>3</v>
      </c>
      <c r="BC3" t="str">
        <f t="shared" ref="BC3:BC22" si="39">IF(ROW(BA3)-ROW(BA$2)+1&gt;COUNT(BB$2:BB$50),"",INDEX(BA:BA,SMALL(BB$2:BB$50,1+ROW(BA3)-ROW(BA$2))))</f>
        <v>Creating Digital Audio</v>
      </c>
      <c r="BE3" t="s">
        <v>363</v>
      </c>
      <c r="BF3">
        <f>IF(COUNTIF('Ext Cert'!$E$20:$E$83,BE3)&gt;=1,"",ROW())</f>
        <v>3</v>
      </c>
      <c r="BG3" t="str">
        <f t="shared" ref="BG3:BG24" si="40">IF(ROW(BE3)-ROW(BE$2)+1&gt;COUNT(BF$2:BF$50),"",INDEX(BE:BE,SMALL(BF$2:BF$50,1+ROW(BE3)-ROW(BE$2))))</f>
        <v>Introducing Music Composition</v>
      </c>
      <c r="BI3" t="s">
        <v>391</v>
      </c>
      <c r="BJ3">
        <f>IF(COUNTIF('Ext Cert'!$E$20:$E$83,BI3)&gt;=1,"",ROW())</f>
        <v>3</v>
      </c>
      <c r="BK3" t="str">
        <f t="shared" ref="BK3:BK6" si="41">IF(ROW(BI3)-ROW(BI$2)+1&gt;COUNT(BJ$2:BJ$50),"",INDEX(BI:BI,SMALL(BJ$2:BJ$50,1+ROW(BI3)-ROW(BI$2))))</f>
        <v>Dance Skills</v>
      </c>
      <c r="BM3" t="s">
        <v>395</v>
      </c>
      <c r="BN3">
        <f>IF(COUNTIF('Ext Cert'!$E$20:$E$83,BM3)&gt;=1,"",ROW())</f>
        <v>3</v>
      </c>
      <c r="BO3" t="str">
        <f t="shared" ref="BO3:BO33" si="42">IF(ROW(BM3)-ROW(BM$2)+1&gt;COUNT(BN$2:BN$50),"",INDEX(BM:BM,SMALL(BN$2:BN$50,1+ROW(BM3)-ROW(BM$2))))</f>
        <v>Movement Skills</v>
      </c>
      <c r="BQ3" t="s">
        <v>395</v>
      </c>
      <c r="BR3">
        <f>IF(COUNTIF('Ext Cert'!$E$20:$E$83,BQ3)&gt;=1,"",ROW())</f>
        <v>3</v>
      </c>
      <c r="BS3" t="str">
        <f t="shared" ref="BS3:BS17" si="43">IF(ROW(BQ3)-ROW(BQ$2)+1&gt;COUNT(BR$2:BR$50),"",INDEX(BQ:BQ,SMALL(BR$2:BR$50,1+ROW(BQ3)-ROW(BQ$2))))</f>
        <v>Movement Skills</v>
      </c>
      <c r="BU3" t="s">
        <v>402</v>
      </c>
      <c r="BV3">
        <f>IF(COUNTIF('Ext Cert'!$E$20:$E$83,BU3)&gt;=1,"",ROW())</f>
        <v>3</v>
      </c>
      <c r="BW3" t="str">
        <f t="shared" ref="BW3:BW15" si="44">IF(ROW(BU3)-ROW(BU$2)+1&gt;COUNT(BV$2:BV$50),"",INDEX(BU:BU,SMALL(BV$2:BV$50,1+ROW(BU3)-ROW(BU$2))))</f>
        <v>Exploring Urban Dance Styles</v>
      </c>
      <c r="BY3" t="s">
        <v>395</v>
      </c>
      <c r="BZ3">
        <f>IF(COUNTIF('Ext Cert'!$E$20:$E$83,BY3)&gt;=1,"",ROW())</f>
        <v>3</v>
      </c>
      <c r="CA3" t="str">
        <f t="shared" ref="CA3:CA14" si="45">IF(ROW(BY3)-ROW(BY$2)+1&gt;COUNT(BZ$2:BZ$50),"",INDEX(BY:BY,SMALL(BZ$2:BZ$50,1+ROW(BY3)-ROW(BY$2))))</f>
        <v>Movement Skills</v>
      </c>
      <c r="CC3" t="s">
        <v>400</v>
      </c>
      <c r="CD3">
        <f>IF(COUNTIF('Ext Cert'!$E$20:$E$83,CC3)&gt;=1,"",ROW())</f>
        <v>3</v>
      </c>
      <c r="CE3" t="str">
        <f t="shared" ref="CE3:CE14" si="46">IF(ROW(CC3)-ROW(CC$2)+1&gt;COUNT(CD$2:CD$50),"",INDEX(CC:CC,SMALL(CD$2:CD$50,1+ROW(CC3)-ROW(CC$2))))</f>
        <v>Performing Scripted Plays</v>
      </c>
      <c r="CG3" t="s">
        <v>404</v>
      </c>
      <c r="CH3">
        <f>IF(COUNTIF('Ext Cert'!$E$20:$E$83,CG3)&gt;=1,"",ROW())</f>
        <v>3</v>
      </c>
      <c r="CI3" t="str">
        <f t="shared" ref="CI3:CI13" si="47">IF(ROW(CG3)-ROW(CG$2)+1&gt;COUNT(CH$2:CH$50),"",INDEX(CG:CG,SMALL(CH$2:CH$50,1+ROW(CG3)-ROW(CG$2))))</f>
        <v>Design Planning for Performance</v>
      </c>
      <c r="CK3" t="s">
        <v>396</v>
      </c>
      <c r="CL3">
        <f>IF(COUNTIF('Ext Cert'!$E$20:$E$83,CK3)&gt;=1,"",ROW())</f>
        <v>3</v>
      </c>
      <c r="CM3" t="str">
        <f t="shared" ref="CM3:CM10" si="48">IF(ROW(CK3)-ROW(CK$2)+1&gt;COUNT(CL$2:CL$50),"",INDEX(CK:CK,SMALL(CL$2:CL$50,1+ROW(CK3)-ROW(CK$2))))</f>
        <v>Devising Performance Work</v>
      </c>
      <c r="CO3" t="s">
        <v>439</v>
      </c>
      <c r="CP3">
        <f>IF(COUNTIF('Ext Cert'!$E$20:$E$83,CO3)&gt;=1,"",ROW())</f>
        <v>3</v>
      </c>
      <c r="CQ3" t="str">
        <f t="shared" ref="CQ3:CQ17" si="49">IF(ROW(CO3)-ROW(CO$2)+1&gt;COUNT(CP$2:CP$50),"",INDEX(CO:CO,SMALL(CP$2:CP$50,1+ROW(CO3)-ROW(CO$2))))</f>
        <v>Public Services and Community Protection</v>
      </c>
      <c r="CS3" t="s">
        <v>456</v>
      </c>
      <c r="CT3">
        <f>IF(COUNTIF('Ext Cert'!$E$20:$E$83,CS3)&gt;=1,"",ROW())</f>
        <v>3</v>
      </c>
      <c r="CU3" t="str">
        <f t="shared" ref="CU3:CU19" si="50">IF(ROW(CS3)-ROW(CS$2)+1&gt;COUNT(CT$2:CT$50),"",INDEX(CS:CS,SMALL(CT$2:CT$50,1+ROW(CS3)-ROW(CS$2))))</f>
        <v>The Sports Performer in Action</v>
      </c>
      <c r="CW3" t="s">
        <v>486</v>
      </c>
      <c r="CX3">
        <f>IF(COUNTIF('Ext Cert'!$E$20:$E$83,CW3)&gt;=1,"",ROW())</f>
        <v>3</v>
      </c>
      <c r="CY3" t="str">
        <f t="shared" ref="CY3:CY16" si="51">IF(ROW(CW3)-ROW(CW$2)+1&gt;COUNT(CX$2:CX$50),"",INDEX(CW:CW,SMALL(CX$2:CX$50,1+ROW(CW3)-ROW(CW$2))))</f>
        <v>Factors Affecting Worldwide Travel and Tourism</v>
      </c>
      <c r="DA3" t="s">
        <v>218</v>
      </c>
      <c r="DB3">
        <f>IF(COUNTIF('Ext Cert'!$E$20:$E$83,DA3)&gt;=1,"",ROW())</f>
        <v>3</v>
      </c>
      <c r="DC3" t="str">
        <f t="shared" ref="DC3:DC6" si="52">IF(ROW(DA3)-ROW(DA$2)+1&gt;COUNT(DB$2:DB$50),"",INDEX(DA:DA,SMALL(DB$2:DB$50,1+ROW(DA3)-ROW(DA$2))))</f>
        <v>Digital Audio Production</v>
      </c>
      <c r="DE3" t="s">
        <v>223</v>
      </c>
      <c r="DF3">
        <f>IF(COUNTIF('Ext Cert'!$E$20:$E$83,DE3)&gt;=1,"",ROW())</f>
        <v>3</v>
      </c>
      <c r="DG3" t="str">
        <f t="shared" ref="DG3:DG11" si="53">IF(ROW(DE3)-ROW(DE$2)+1&gt;COUNT(DF$2:DF$50),"",INDEX(DE:DE,SMALL(DF$2:DF$50,1+ROW(DE3)-ROW(DE$2))))</f>
        <v>Digital Photography for a Media Product</v>
      </c>
    </row>
    <row r="4" spans="1:111" x14ac:dyDescent="0.25">
      <c r="A4" t="s">
        <v>26</v>
      </c>
      <c r="B4">
        <f>IF(COUNTIF('Ext Cert'!$E$20:$E$83,A4)&gt;=1,"",ROW())</f>
        <v>4</v>
      </c>
      <c r="C4" t="str">
        <f t="shared" si="26"/>
        <v>How Scientific Theories are Formulated</v>
      </c>
      <c r="E4" t="s">
        <v>108</v>
      </c>
      <c r="F4">
        <f>IF(COUNTIF('Ext Cert'!$E$20:$E$83,E4)&gt;=1,"",ROW())</f>
        <v>4</v>
      </c>
      <c r="G4" t="str">
        <f t="shared" si="27"/>
        <v>Developing an Art and Design Portfolio</v>
      </c>
      <c r="I4" t="s">
        <v>117</v>
      </c>
      <c r="J4">
        <f>IF(COUNTIF('Ext Cert'!$E$20:$E$83,I4)&gt;=1,"",ROW())</f>
        <v>4</v>
      </c>
      <c r="K4" t="str">
        <f t="shared" si="28"/>
        <v>Fashion Briefs</v>
      </c>
      <c r="M4" t="s">
        <v>116</v>
      </c>
      <c r="N4">
        <f>IF(COUNTIF('Ext Cert'!$E$20:$E$83,M4)&gt;=1,"",ROW())</f>
        <v>4</v>
      </c>
      <c r="O4" t="str">
        <f t="shared" si="29"/>
        <v>Design Crafts Briefs</v>
      </c>
      <c r="Q4" t="s">
        <v>108</v>
      </c>
      <c r="R4">
        <f>IF(COUNTIF('Ext Cert'!$E$20:$E$83,Q4)&gt;=1,"",ROW())</f>
        <v>4</v>
      </c>
      <c r="S4" t="str">
        <f t="shared" si="30"/>
        <v>Developing an Art and Design Portfolio</v>
      </c>
      <c r="U4" t="s">
        <v>108</v>
      </c>
      <c r="V4">
        <f>IF(COUNTIF('Ext Cert'!$E$20:$E$83,U4)&gt;=1,"",ROW())</f>
        <v>4</v>
      </c>
      <c r="W4" t="str">
        <f t="shared" si="31"/>
        <v>Developing an Art and Design Portfolio</v>
      </c>
      <c r="Y4" t="s">
        <v>116</v>
      </c>
      <c r="Z4">
        <f>IF(COUNTIF('Ext Cert'!$E$20:$E$83,Y4)&gt;=1,"",ROW())</f>
        <v>4</v>
      </c>
      <c r="AA4" t="str">
        <f t="shared" si="32"/>
        <v>Design Crafts Briefs</v>
      </c>
      <c r="AC4" t="s">
        <v>115</v>
      </c>
      <c r="AD4">
        <f>IF(COUNTIF('Ext Cert'!$E$20:$E$83,AC4)&gt;=1,"",ROW())</f>
        <v>4</v>
      </c>
      <c r="AE4" t="str">
        <f t="shared" si="33"/>
        <v>Using Mobile Devices in Art and Design</v>
      </c>
      <c r="AG4" t="s">
        <v>159</v>
      </c>
      <c r="AH4">
        <f>IF(COUNTIF('Ext Cert'!$E$20:$E$83,AG4)&gt;=1,"",ROW())</f>
        <v>4</v>
      </c>
      <c r="AI4" t="str">
        <f t="shared" si="34"/>
        <v>Sales and Personal Selling</v>
      </c>
      <c r="AK4" t="s">
        <v>191</v>
      </c>
      <c r="AL4">
        <f>IF(COUNTIF('Ext Cert'!$E$20:$E$83,AK4)&gt;=1,"",ROW())</f>
        <v>4</v>
      </c>
      <c r="AM4" t="str">
        <f t="shared" si="35"/>
        <v>Exploring Carpentry and Joinery Principles and Techniques</v>
      </c>
      <c r="AO4" t="s">
        <v>237</v>
      </c>
      <c r="AP4">
        <f>IF(COUNTIF('Ext Cert'!$E$20:$E$83,AO4)&gt;=1,"",ROW())</f>
        <v>4</v>
      </c>
      <c r="AQ4" t="str">
        <f t="shared" si="36"/>
        <v>Engineering Materials</v>
      </c>
      <c r="AS4" t="s">
        <v>296</v>
      </c>
      <c r="AT4">
        <f>IF(COUNTIF('Ext Cert'!$E$20:$E$83,AS4)&gt;=1,"",ROW())</f>
        <v>4</v>
      </c>
      <c r="AU4" t="str">
        <f t="shared" si="37"/>
        <v>The Impact of Nutrition on Health and Wellbeing</v>
      </c>
      <c r="AW4" t="s">
        <v>312</v>
      </c>
      <c r="AX4">
        <f>IF(COUNTIF('Ext Cert'!$E$20:$E$83,AW4)&gt;=1,"",ROW())</f>
        <v>4</v>
      </c>
      <c r="AY4" t="str">
        <f t="shared" si="38"/>
        <v>Planning, Preparing, Cooking and Finishing Food</v>
      </c>
      <c r="BA4" t="s">
        <v>346</v>
      </c>
      <c r="BB4">
        <f>IF(COUNTIF('Ext Cert'!$E$20:$E$83,BA4)&gt;=1,"",ROW())</f>
        <v>4</v>
      </c>
      <c r="BC4" t="str">
        <f t="shared" si="39"/>
        <v>Creating Digital Graphics</v>
      </c>
      <c r="BE4" t="s">
        <v>364</v>
      </c>
      <c r="BF4">
        <f>IF(COUNTIF('Ext Cert'!$E$20:$E$83,BE4)&gt;=1,"",ROW())</f>
        <v>4</v>
      </c>
      <c r="BG4" t="str">
        <f t="shared" si="40"/>
        <v>Introducing Music Performance</v>
      </c>
      <c r="BI4" t="s">
        <v>392</v>
      </c>
      <c r="BJ4">
        <f>IF(COUNTIF('Ext Cert'!$E$20:$E$83,BI4)&gt;=1,"",ROW())</f>
        <v>4</v>
      </c>
      <c r="BK4" t="str">
        <f t="shared" si="41"/>
        <v>Musical Theatre Skills</v>
      </c>
      <c r="BM4" t="s">
        <v>396</v>
      </c>
      <c r="BN4">
        <f>IF(COUNTIF('Ext Cert'!$E$20:$E$83,BM4)&gt;=1,"",ROW())</f>
        <v>4</v>
      </c>
      <c r="BO4" t="str">
        <f t="shared" si="42"/>
        <v>Devising Performance Work</v>
      </c>
      <c r="BQ4" t="s">
        <v>396</v>
      </c>
      <c r="BR4">
        <f>IF(COUNTIF('Ext Cert'!$E$20:$E$83,BQ4)&gt;=1,"",ROW())</f>
        <v>4</v>
      </c>
      <c r="BS4" t="str">
        <f t="shared" si="43"/>
        <v>Devising Performance Work</v>
      </c>
      <c r="BU4" t="s">
        <v>403</v>
      </c>
      <c r="BV4">
        <f>IF(COUNTIF('Ext Cert'!$E$20:$E$83,BU4)&gt;=1,"",ROW())</f>
        <v>4</v>
      </c>
      <c r="BW4" t="str">
        <f t="shared" si="44"/>
        <v>Jazz Dance Techniques</v>
      </c>
      <c r="BY4" t="s">
        <v>396</v>
      </c>
      <c r="BZ4">
        <f>IF(COUNTIF('Ext Cert'!$E$20:$E$83,BY4)&gt;=1,"",ROW())</f>
        <v>4</v>
      </c>
      <c r="CA4" t="str">
        <f t="shared" si="45"/>
        <v>Devising Performance Work</v>
      </c>
      <c r="CC4" t="s">
        <v>404</v>
      </c>
      <c r="CD4">
        <f>IF(COUNTIF('Ext Cert'!$E$20:$E$83,CC4)&gt;=1,"",ROW())</f>
        <v>4</v>
      </c>
      <c r="CE4" t="str">
        <f t="shared" si="46"/>
        <v>Design Planning for Performance</v>
      </c>
      <c r="CG4" t="s">
        <v>405</v>
      </c>
      <c r="CH4">
        <f>IF(COUNTIF('Ext Cert'!$E$20:$E$83,CG4)&gt;=1,"",ROW())</f>
        <v>4</v>
      </c>
      <c r="CI4" t="str">
        <f t="shared" si="47"/>
        <v>Realising Costume Design for Performance</v>
      </c>
      <c r="CK4" t="s">
        <v>397</v>
      </c>
      <c r="CL4">
        <f>IF(COUNTIF('Ext Cert'!$E$20:$E$83,CK4)&gt;=1,"",ROW())</f>
        <v>4</v>
      </c>
      <c r="CM4" t="str">
        <f t="shared" si="48"/>
        <v>Exploring Improvisation</v>
      </c>
      <c r="CO4" t="s">
        <v>440</v>
      </c>
      <c r="CP4">
        <f>IF(COUNTIF('Ext Cert'!$E$20:$E$83,CO4)&gt;=1,"",ROW())</f>
        <v>4</v>
      </c>
      <c r="CQ4" t="str">
        <f t="shared" si="49"/>
        <v>Health, Fitness and Lifestyle for the Public Services</v>
      </c>
      <c r="CS4" t="s">
        <v>457</v>
      </c>
      <c r="CT4">
        <f>IF(COUNTIF('Ext Cert'!$E$20:$E$83,CS4)&gt;=1,"",ROW())</f>
        <v>4</v>
      </c>
      <c r="CU4" t="str">
        <f t="shared" si="50"/>
        <v>Training for Personal Fitness</v>
      </c>
      <c r="CW4" t="s">
        <v>525</v>
      </c>
      <c r="CX4">
        <f>IF(OR(COUNTIF('Ext Cert'!$E$20:$E$83,CW4)&gt;=1,COUNTIF('Ext Cert'!$E$20:$E$83,CW8)&gt;=1),"",ROW())</f>
        <v>4</v>
      </c>
      <c r="CY4" t="str">
        <f t="shared" si="51"/>
        <v>The Travel and Tourism Customer Experience</v>
      </c>
      <c r="DA4" t="s">
        <v>219</v>
      </c>
      <c r="DB4">
        <f>IF(COUNTIF('Ext Cert'!$E$20:$E$83,DA4)&gt;=1,"",ROW())</f>
        <v>4</v>
      </c>
      <c r="DC4" t="str">
        <f t="shared" si="52"/>
        <v>Digital Publishing Production</v>
      </c>
      <c r="DE4" t="s">
        <v>224</v>
      </c>
      <c r="DF4">
        <f>IF(COUNTIF('Ext Cert'!$E$20:$E$83,DE4)&gt;=1,"",ROW())</f>
        <v>4</v>
      </c>
      <c r="DG4" t="str">
        <f t="shared" si="53"/>
        <v>Animation for Digital Media</v>
      </c>
    </row>
    <row r="5" spans="1:111" x14ac:dyDescent="0.25">
      <c r="A5" t="s">
        <v>27</v>
      </c>
      <c r="B5">
        <f>IF(COUNTIF('Ext Cert'!$E$20:$E$83,A5)&gt;=1,"",ROW())</f>
        <v>5</v>
      </c>
      <c r="C5" t="str">
        <f t="shared" si="26"/>
        <v>The Living Body</v>
      </c>
      <c r="E5" t="s">
        <v>115</v>
      </c>
      <c r="F5">
        <f>IF(COUNTIF('Ext Cert'!$E$20:$E$83,E5)&gt;=1,"",ROW())</f>
        <v>5</v>
      </c>
      <c r="G5" t="str">
        <f t="shared" si="27"/>
        <v>Using Mobile Devices in Art and Design</v>
      </c>
      <c r="I5" t="s">
        <v>119</v>
      </c>
      <c r="J5">
        <f>IF(COUNTIF('Ext Cert'!$E$20:$E$83,I5)&gt;=1,"",ROW())</f>
        <v>5</v>
      </c>
      <c r="K5" t="str">
        <f t="shared" si="28"/>
        <v>Textiles Briefs</v>
      </c>
      <c r="M5" t="s">
        <v>121</v>
      </c>
      <c r="N5">
        <f>IF(COUNTIF('Ext Cert'!$E$20:$E$83,M5)&gt;=1,"",ROW())</f>
        <v>5</v>
      </c>
      <c r="O5" t="str">
        <f t="shared" si="29"/>
        <v>Photography Briefs</v>
      </c>
      <c r="Q5" t="s">
        <v>115</v>
      </c>
      <c r="R5">
        <f>IF(COUNTIF('Ext Cert'!$E$20:$E$83,Q5)&gt;=1,"",ROW())</f>
        <v>5</v>
      </c>
      <c r="S5" t="str">
        <f t="shared" si="30"/>
        <v>Using Mobile Devices in Art and Design</v>
      </c>
      <c r="U5" t="s">
        <v>115</v>
      </c>
      <c r="V5">
        <f>IF(COUNTIF('Ext Cert'!$E$20:$E$83,U5)&gt;=1,"",ROW())</f>
        <v>5</v>
      </c>
      <c r="W5" t="str">
        <f t="shared" si="31"/>
        <v>Using Mobile Devices in Art and Design</v>
      </c>
      <c r="Y5" t="s">
        <v>117</v>
      </c>
      <c r="Z5">
        <f>IF(COUNTIF('Ext Cert'!$E$20:$E$83,Y5)&gt;=1,"",ROW())</f>
        <v>5</v>
      </c>
      <c r="AA5" t="str">
        <f t="shared" si="32"/>
        <v>Fashion Briefs</v>
      </c>
      <c r="AC5" t="s">
        <v>117</v>
      </c>
      <c r="AD5">
        <f>IF(COUNTIF('Ext Cert'!$E$20:$E$83,AC5)&gt;=1,"",ROW())</f>
        <v>5</v>
      </c>
      <c r="AE5" t="str">
        <f t="shared" si="33"/>
        <v>Fashion Briefs</v>
      </c>
      <c r="AG5" t="s">
        <v>160</v>
      </c>
      <c r="AH5">
        <f>IF(COUNTIF('Ext Cert'!$E$20:$E$83,AG5)&gt;=1,"",ROW())</f>
        <v>5</v>
      </c>
      <c r="AI5" t="str">
        <f t="shared" si="34"/>
        <v>Introducing Retail Business</v>
      </c>
      <c r="AK5" t="s">
        <v>192</v>
      </c>
      <c r="AL5">
        <f>IF(COUNTIF('Ext Cert'!$E$20:$E$83,AK5)&gt;=1,"",ROW())</f>
        <v>5</v>
      </c>
      <c r="AM5" t="str">
        <f t="shared" si="35"/>
        <v>Exploring Brickwork and Blockwork Principles and Techniques</v>
      </c>
      <c r="AO5" t="s">
        <v>247</v>
      </c>
      <c r="AP5">
        <f>IF(COUNTIF('Ext Cert'!$E$20:$E$83,AO5)&gt;=1,"",ROW())</f>
        <v>5</v>
      </c>
      <c r="AQ5" t="str">
        <f t="shared" si="36"/>
        <v>Computer-aided Engineering</v>
      </c>
      <c r="AS5" t="s">
        <v>282</v>
      </c>
      <c r="AT5">
        <f>IF(COUNTIF('Ext Cert'!$E$20:$E$83,AS5)&gt;=1,"",ROW())</f>
        <v>5</v>
      </c>
      <c r="AU5" t="str">
        <f t="shared" si="37"/>
        <v>Equality and Diversity in Health and Social Care</v>
      </c>
      <c r="AW5" t="s">
        <v>313</v>
      </c>
      <c r="AX5">
        <f>IF(COUNTIF('Ext Cert'!$E$20:$E$83,AW5)&gt;=1,"",ROW())</f>
        <v>5</v>
      </c>
      <c r="AY5" t="str">
        <f t="shared" si="38"/>
        <v>Food and Beverage Service in the Hospitality Industry</v>
      </c>
      <c r="BA5" t="s">
        <v>347</v>
      </c>
      <c r="BB5">
        <f>IF(COUNTIF('Ext Cert'!$E$20:$E$83,BA5)&gt;=1,"",ROW())</f>
        <v>5</v>
      </c>
      <c r="BC5" t="str">
        <f t="shared" si="39"/>
        <v>Creating Digital Video</v>
      </c>
      <c r="BE5" t="s">
        <v>365</v>
      </c>
      <c r="BF5">
        <f>IF(COUNTIF('Ext Cert'!$E$20:$E$83,BE5)&gt;=1,"",ROW())</f>
        <v>5</v>
      </c>
      <c r="BG5" t="str">
        <f t="shared" si="40"/>
        <v>Introducing Music Recording</v>
      </c>
      <c r="BI5" t="s">
        <v>393</v>
      </c>
      <c r="BJ5">
        <f>IF(COUNTIF('Ext Cert'!$E$20:$E$83,BI5)&gt;=1,"",ROW())</f>
        <v>5</v>
      </c>
      <c r="BK5" t="str">
        <f t="shared" si="41"/>
        <v>Music Performance Skills</v>
      </c>
      <c r="BM5" t="s">
        <v>397</v>
      </c>
      <c r="BN5">
        <f>IF(COUNTIF('Ext Cert'!$E$20:$E$83,BM5)&gt;=1,"",ROW())</f>
        <v>5</v>
      </c>
      <c r="BO5" t="str">
        <f t="shared" si="42"/>
        <v>Exploring Improvisation</v>
      </c>
      <c r="BQ5" t="s">
        <v>397</v>
      </c>
      <c r="BR5">
        <f>IF(COUNTIF('Ext Cert'!$E$20:$E$83,BQ5)&gt;=1,"",ROW())</f>
        <v>5</v>
      </c>
      <c r="BS5" t="str">
        <f t="shared" si="43"/>
        <v>Exploring Improvisation</v>
      </c>
      <c r="BU5" t="s">
        <v>404</v>
      </c>
      <c r="BV5">
        <f>IF(COUNTIF('Ext Cert'!$E$20:$E$83,BU5)&gt;=1,"",ROW())</f>
        <v>5</v>
      </c>
      <c r="BW5" t="str">
        <f t="shared" si="44"/>
        <v>Design Planning for Performance</v>
      </c>
      <c r="BY5" t="s">
        <v>397</v>
      </c>
      <c r="BZ5">
        <f>IF(COUNTIF('Ext Cert'!$E$20:$E$83,BY5)&gt;=1,"",ROW())</f>
        <v>5</v>
      </c>
      <c r="CA5" t="str">
        <f t="shared" si="45"/>
        <v>Exploring Improvisation</v>
      </c>
      <c r="CC5" t="s">
        <v>405</v>
      </c>
      <c r="CD5">
        <f>IF(COUNTIF('Ext Cert'!$E$20:$E$83,CC5)&gt;=1,"",ROW())</f>
        <v>5</v>
      </c>
      <c r="CE5" t="str">
        <f t="shared" si="46"/>
        <v>Realising Costume Design for Performance</v>
      </c>
      <c r="CG5" t="s">
        <v>406</v>
      </c>
      <c r="CH5">
        <f>IF(COUNTIF('Ext Cert'!$E$20:$E$83,CG5)&gt;=1,"",ROW())</f>
        <v>5</v>
      </c>
      <c r="CI5" t="str">
        <f t="shared" si="47"/>
        <v>Realising Set Design for Performance</v>
      </c>
      <c r="CK5" t="s">
        <v>398</v>
      </c>
      <c r="CL5">
        <f>IF(COUNTIF('Ext Cert'!$E$20:$E$83,CK5)&gt;=1,"",ROW())</f>
        <v>5</v>
      </c>
      <c r="CM5" t="str">
        <f t="shared" si="48"/>
        <v>Multimedia Performance</v>
      </c>
      <c r="CO5" t="s">
        <v>441</v>
      </c>
      <c r="CP5">
        <f>IF(COUNTIF('Ext Cert'!$E$20:$E$83,CO5)&gt;=1,"",ROW())</f>
        <v>5</v>
      </c>
      <c r="CQ5" t="str">
        <f t="shared" si="49"/>
        <v>Promotion of Public Services Provision</v>
      </c>
      <c r="CS5" t="s">
        <v>467</v>
      </c>
      <c r="CT5">
        <f>IF(COUNTIF('Ext Cert'!$E$20:$E$83,CS5)&gt;=1,"",ROW())</f>
        <v>5</v>
      </c>
      <c r="CU5" t="str">
        <f t="shared" si="50"/>
        <v>Leading Sports Activities</v>
      </c>
      <c r="CW5" t="s">
        <v>489</v>
      </c>
      <c r="CX5">
        <f>IF(COUNTIF('Ext Cert'!$E$20:$E$83,CW5)&gt;=1,"",ROW())</f>
        <v>5</v>
      </c>
      <c r="CY5" t="str">
        <f t="shared" si="51"/>
        <v>Promotion and Sales in Travel and Tourism</v>
      </c>
      <c r="DA5" t="s">
        <v>220</v>
      </c>
      <c r="DB5">
        <f>IF(COUNTIF('Ext Cert'!$E$20:$E$83,DA5)&gt;=1,"",ROW())</f>
        <v>5</v>
      </c>
      <c r="DC5" t="str">
        <f t="shared" si="52"/>
        <v>Website Production</v>
      </c>
      <c r="DE5" t="s">
        <v>225</v>
      </c>
      <c r="DF5">
        <f>IF(COUNTIF('Ext Cert'!$E$20:$E$83,DE5)&gt;=1,"",ROW())</f>
        <v>5</v>
      </c>
      <c r="DG5" t="str">
        <f t="shared" si="53"/>
        <v>Digital Audio Editing</v>
      </c>
    </row>
    <row r="6" spans="1:111" x14ac:dyDescent="0.25">
      <c r="A6" t="s">
        <v>28</v>
      </c>
      <c r="B6">
        <f>IF(COUNTIF('Ext Cert'!$E$20:$E$83,A6)&gt;=1,"",ROW())</f>
        <v>6</v>
      </c>
      <c r="C6" t="str">
        <f t="shared" si="26"/>
        <v>Monitoring the Environment</v>
      </c>
      <c r="E6" t="s">
        <v>116</v>
      </c>
      <c r="F6">
        <f>IF(OR(COUNTIF('Ext Cert'!$E$20:$E$83,E6)&gt;=1,COUNTIF('Ext Cert'!$E$20:$E$83,E3)&gt;=1),"",ROW())</f>
        <v>6</v>
      </c>
      <c r="G6" t="str">
        <f t="shared" si="27"/>
        <v>Design Crafts Briefs</v>
      </c>
      <c r="I6" t="s">
        <v>122</v>
      </c>
      <c r="J6">
        <f>IF(COUNTIF('Ext Cert'!$E$20:$E$83,I6)&gt;=1,"",ROW())</f>
        <v>6</v>
      </c>
      <c r="K6" t="str">
        <f t="shared" si="28"/>
        <v>Designing for the Future</v>
      </c>
      <c r="M6" t="s">
        <v>122</v>
      </c>
      <c r="N6">
        <f>IF(COUNTIF('Ext Cert'!$E$20:$E$83,M6)&gt;=1,"",ROW())</f>
        <v>6</v>
      </c>
      <c r="O6" t="str">
        <f t="shared" si="29"/>
        <v>Designing for the Future</v>
      </c>
      <c r="Q6" t="s">
        <v>117</v>
      </c>
      <c r="R6">
        <f>IF(COUNTIF('Ext Cert'!$E$20:$E$83,Q6)&gt;=1,"",ROW())</f>
        <v>6</v>
      </c>
      <c r="S6" t="str">
        <f t="shared" si="30"/>
        <v>Fashion Briefs</v>
      </c>
      <c r="U6" t="s">
        <v>117</v>
      </c>
      <c r="V6">
        <f>IF(COUNTIF('Ext Cert'!$E$20:$E$83,U6)&gt;=1,"",ROW())</f>
        <v>6</v>
      </c>
      <c r="W6" t="str">
        <f t="shared" si="31"/>
        <v>Fashion Briefs</v>
      </c>
      <c r="Y6" t="s">
        <v>118</v>
      </c>
      <c r="Z6">
        <f>IF(COUNTIF('Ext Cert'!$E$20:$E$83,Y6)&gt;=1,"",ROW())</f>
        <v>6</v>
      </c>
      <c r="AA6" t="str">
        <f t="shared" si="32"/>
        <v>Graphic Design Briefs</v>
      </c>
      <c r="AC6" t="s">
        <v>120</v>
      </c>
      <c r="AD6">
        <f>IF(OR(COUNTIF('Ext Cert'!$E$20:$E$83,AC6)&gt;=1,COUNTIF('Ext Cert'!$E$20:$E$83,AC2)&gt;=1),"",ROW())</f>
        <v>6</v>
      </c>
      <c r="AE6" t="str">
        <f t="shared" si="33"/>
        <v>Visual Arts Briefs</v>
      </c>
      <c r="AG6" t="s">
        <v>161</v>
      </c>
      <c r="AH6">
        <f>IF(COUNTIF('Ext Cert'!$E$20:$E$83,AG6)&gt;=1,"",ROW())</f>
        <v>6</v>
      </c>
      <c r="AI6" t="str">
        <f t="shared" si="34"/>
        <v>Providing Business Support</v>
      </c>
      <c r="AK6" t="s">
        <v>193</v>
      </c>
      <c r="AL6">
        <f>IF(COUNTIF('Ext Cert'!$E$20:$E$83,AK6)&gt;=1,"",ROW())</f>
        <v>6</v>
      </c>
      <c r="AM6" t="str">
        <f t="shared" si="35"/>
        <v>Exploring Painting and Decorating Principles and Techniques</v>
      </c>
      <c r="AO6" t="s">
        <v>241</v>
      </c>
      <c r="AP6">
        <f>IF(COUNTIF('Ext Cert'!$E$20:$E$83,AO6)&gt;=1,"",ROW())</f>
        <v>6</v>
      </c>
      <c r="AQ6" t="str">
        <f t="shared" si="36"/>
        <v>Machining Techniques</v>
      </c>
      <c r="AS6" t="s">
        <v>283</v>
      </c>
      <c r="AT6">
        <f>IF(COUNTIF('Ext Cert'!$E$20:$E$83,AS6)&gt;=1,"",ROW())</f>
        <v>6</v>
      </c>
      <c r="AU6" t="str">
        <f t="shared" si="37"/>
        <v>Individual Rights in Health and Social Care</v>
      </c>
      <c r="AW6" t="s">
        <v>314</v>
      </c>
      <c r="AX6">
        <f>IF(COUNTIF('Ext Cert'!$E$20:$E$83,AW6)&gt;=1,"",ROW())</f>
        <v>6</v>
      </c>
      <c r="AY6" t="str">
        <f t="shared" si="38"/>
        <v>Front Office Services in the Hospitality Industry</v>
      </c>
      <c r="BA6" t="s">
        <v>348</v>
      </c>
      <c r="BB6">
        <f>IF(COUNTIF('Ext Cert'!$E$20:$E$83,BA6)&gt;=1,"",ROW())</f>
        <v>6</v>
      </c>
      <c r="BC6" t="str">
        <f t="shared" si="39"/>
        <v>Mobile Apps Development</v>
      </c>
      <c r="BE6" t="s">
        <v>366</v>
      </c>
      <c r="BF6">
        <f>IF(COUNTIF('Ext Cert'!$E$20:$E$83,BE6)&gt;=1,"",ROW())</f>
        <v>6</v>
      </c>
      <c r="BG6" t="str">
        <f t="shared" si="40"/>
        <v>Introducing Music Sequencing</v>
      </c>
      <c r="BI6" t="s">
        <v>394</v>
      </c>
      <c r="BJ6">
        <f>IF(COUNTIF('Ext Cert'!$E$20:$E$83,BI6)&gt;=1,"",ROW())</f>
        <v>6</v>
      </c>
      <c r="BK6" t="str">
        <f t="shared" si="41"/>
        <v>Production Skills for Performance</v>
      </c>
      <c r="BM6" t="s">
        <v>398</v>
      </c>
      <c r="BN6">
        <f>IF(COUNTIF('Ext Cert'!$E$20:$E$83,BM6)&gt;=1,"",ROW())</f>
        <v>6</v>
      </c>
      <c r="BO6" t="str">
        <f t="shared" si="42"/>
        <v>Multimedia Performance</v>
      </c>
      <c r="BQ6" t="s">
        <v>398</v>
      </c>
      <c r="BR6">
        <f>IF(COUNTIF('Ext Cert'!$E$20:$E$83,BQ6)&gt;=1,"",ROW())</f>
        <v>6</v>
      </c>
      <c r="BS6" t="str">
        <f t="shared" si="43"/>
        <v>Multimedia Performance</v>
      </c>
      <c r="BU6" t="s">
        <v>405</v>
      </c>
      <c r="BV6">
        <f>IF(COUNTIF('Ext Cert'!$E$20:$E$83,BU6)&gt;=1,"",ROW())</f>
        <v>6</v>
      </c>
      <c r="BW6" t="str">
        <f t="shared" si="44"/>
        <v>Realising Costume Design for Performance</v>
      </c>
      <c r="BY6" t="s">
        <v>398</v>
      </c>
      <c r="BZ6">
        <f>IF(COUNTIF('Ext Cert'!$E$20:$E$83,BY6)&gt;=1,"",ROW())</f>
        <v>6</v>
      </c>
      <c r="CA6" t="str">
        <f t="shared" si="45"/>
        <v>Multimedia Performance</v>
      </c>
      <c r="CC6" t="s">
        <v>406</v>
      </c>
      <c r="CD6">
        <f>IF(COUNTIF('Ext Cert'!$E$20:$E$83,CC6)&gt;=1,"",ROW())</f>
        <v>6</v>
      </c>
      <c r="CE6" t="str">
        <f t="shared" si="46"/>
        <v>Realising Set Design for Performance</v>
      </c>
      <c r="CG6" t="s">
        <v>407</v>
      </c>
      <c r="CH6">
        <f>IF(COUNTIF('Ext Cert'!$E$20:$E$83,CG6)&gt;=1,"",ROW())</f>
        <v>6</v>
      </c>
      <c r="CI6" t="str">
        <f t="shared" si="47"/>
        <v>Realising Prop Design for Performance</v>
      </c>
      <c r="CK6" t="s">
        <v>399</v>
      </c>
      <c r="CL6">
        <f>IF(COUNTIF('Ext Cert'!$E$20:$E$83,CK6)&gt;=1,"",ROW())</f>
        <v>6</v>
      </c>
      <c r="CM6" t="str">
        <f t="shared" si="48"/>
        <v>Voice and Speech for Performers</v>
      </c>
      <c r="CO6" t="s">
        <v>442</v>
      </c>
      <c r="CP6">
        <f>IF(COUNTIF('Ext Cert'!$E$20:$E$83,CO6)&gt;=1,"",ROW())</f>
        <v>6</v>
      </c>
      <c r="CQ6" t="str">
        <f t="shared" si="49"/>
        <v>Community and Cultural Awareness</v>
      </c>
      <c r="CS6" t="s">
        <v>468</v>
      </c>
      <c r="CT6">
        <f>IF(COUNTIF('Ext Cert'!$E$20:$E$83,CS6)&gt;=1,"",ROW())</f>
        <v>6</v>
      </c>
      <c r="CU6" t="str">
        <f t="shared" si="50"/>
        <v>Promotion and Sponsorship in Sport</v>
      </c>
      <c r="CW6" t="s">
        <v>490</v>
      </c>
      <c r="CX6">
        <f>IF(COUNTIF('Ext Cert'!$E$20:$E$83,CW6)&gt;=1,"",ROW())</f>
        <v>6</v>
      </c>
      <c r="CY6" t="str">
        <f t="shared" si="51"/>
        <v>Travel and Tourism Employment Opportunities</v>
      </c>
      <c r="DA6" t="s">
        <v>221</v>
      </c>
      <c r="DB6">
        <f>IF(COUNTIF('Ext Cert'!$E$20:$E$83,DA6)&gt;=1,"",ROW())</f>
        <v>6</v>
      </c>
      <c r="DC6" t="str">
        <f t="shared" si="52"/>
        <v>Digital Games Production</v>
      </c>
      <c r="DE6" t="s">
        <v>226</v>
      </c>
      <c r="DF6">
        <f>IF(COUNTIF('Ext Cert'!$E$20:$E$83,DE6)&gt;=1,"",ROW())</f>
        <v>6</v>
      </c>
      <c r="DG6" t="str">
        <f t="shared" si="53"/>
        <v>Graphic Design for Digital Media</v>
      </c>
    </row>
    <row r="7" spans="1:111" x14ac:dyDescent="0.25">
      <c r="A7" t="s">
        <v>29</v>
      </c>
      <c r="B7">
        <f>IF(COUNTIF('Ext Cert'!$E$20:$E$83,A7)&gt;=1,"",ROW())</f>
        <v>7</v>
      </c>
      <c r="C7" t="str">
        <f t="shared" si="26"/>
        <v>Growing Plants for Food</v>
      </c>
      <c r="E7" t="s">
        <v>117</v>
      </c>
      <c r="F7">
        <f>IF(COUNTIF('Ext Cert'!$E$20:$E$83,E7)&gt;=1,"",ROW())</f>
        <v>7</v>
      </c>
      <c r="G7" t="str">
        <f t="shared" si="27"/>
        <v>Fashion Briefs</v>
      </c>
      <c r="I7" t="s">
        <v>111</v>
      </c>
      <c r="J7">
        <f>IF(COUNTIF('Ext Cert'!$E$20:$E$83,I7)&gt;=1,"",ROW())</f>
        <v>7</v>
      </c>
      <c r="K7" t="str">
        <f t="shared" si="28"/>
        <v>Applying Contextual References in Art and Design</v>
      </c>
      <c r="M7" t="s">
        <v>111</v>
      </c>
      <c r="N7">
        <f>IF(COUNTIF('Ext Cert'!$E$20:$E$83,M7)&gt;=1,"",ROW())</f>
        <v>7</v>
      </c>
      <c r="O7" t="str">
        <f t="shared" si="29"/>
        <v>Applying Contextual References in Art and Design</v>
      </c>
      <c r="Q7" t="s">
        <v>122</v>
      </c>
      <c r="R7">
        <f>IF(COUNTIF('Ext Cert'!$E$20:$E$83,Q7)&gt;=1,"",ROW())</f>
        <v>7</v>
      </c>
      <c r="S7" t="str">
        <f t="shared" si="30"/>
        <v>Designing for the Future</v>
      </c>
      <c r="U7" t="s">
        <v>118</v>
      </c>
      <c r="V7">
        <f>IF(OR(COUNTIF('Ext Cert'!$E$20:$E$83,U7)&gt;=1,COUNTIF('Ext Cert'!$E$20:$E$83,U2)&gt;=1),"",ROW())</f>
        <v>7</v>
      </c>
      <c r="W7" t="str">
        <f t="shared" si="31"/>
        <v>Graphic Design Briefs</v>
      </c>
      <c r="Y7" t="s">
        <v>119</v>
      </c>
      <c r="Z7">
        <f>IF(COUNTIF('Ext Cert'!$E$20:$E$83,Y7)&gt;=1,"",ROW())</f>
        <v>7</v>
      </c>
      <c r="AA7" t="str">
        <f t="shared" si="32"/>
        <v>Textiles Briefs</v>
      </c>
      <c r="AC7" t="s">
        <v>121</v>
      </c>
      <c r="AD7">
        <f>IF(COUNTIF('Ext Cert'!$E$20:$E$83,AC7)&gt;=1,"",ROW())</f>
        <v>7</v>
      </c>
      <c r="AE7" t="str">
        <f t="shared" si="33"/>
        <v>Photography Briefs</v>
      </c>
      <c r="AG7" t="s">
        <v>162</v>
      </c>
      <c r="AH7">
        <f>IF(OR(COUNTIF('Ext Cert'!$E$20:$E$83,AG7)&gt;=1,COUNTIF('Ext Cert'!$E$20:$E$83,AG22)&gt;=1),"",ROW())</f>
        <v>7</v>
      </c>
      <c r="AI7" t="str">
        <f t="shared" si="34"/>
        <v>Recruitment, Selection and Employment</v>
      </c>
      <c r="AK7" t="s">
        <v>194</v>
      </c>
      <c r="AL7">
        <f>IF(COUNTIF('Ext Cert'!$E$20:$E$83,AK7)&gt;=1,"",ROW())</f>
        <v>7</v>
      </c>
      <c r="AM7" t="str">
        <f t="shared" si="35"/>
        <v>Construction Processes and Operations</v>
      </c>
      <c r="AO7" t="s">
        <v>242</v>
      </c>
      <c r="AP7">
        <f>IF(COUNTIF('Ext Cert'!$E$20:$E$83,AO7)&gt;=1,"",ROW())</f>
        <v>7</v>
      </c>
      <c r="AQ7" t="str">
        <f t="shared" si="36"/>
        <v>Electronic Circuit Design and Construction</v>
      </c>
      <c r="AS7" t="s">
        <v>286</v>
      </c>
      <c r="AT7">
        <f>IF(COUNTIF('Ext Cert'!$E$20:$E$83,AS7)&gt;=1,"",ROW())</f>
        <v>7</v>
      </c>
      <c r="AU7" t="str">
        <f t="shared" si="37"/>
        <v>Human Body Systems and Care of Disorders</v>
      </c>
      <c r="AW7" t="s">
        <v>315</v>
      </c>
      <c r="AX7">
        <f>IF(COUNTIF('Ext Cert'!$E$20:$E$83,AW7)&gt;=1,"",ROW())</f>
        <v>7</v>
      </c>
      <c r="AY7" t="str">
        <f t="shared" si="38"/>
        <v>Marketing and Promotion in Hospitality</v>
      </c>
      <c r="BA7" t="s">
        <v>349</v>
      </c>
      <c r="BB7">
        <f>IF(COUNTIF('Ext Cert'!$E$20:$E$83,BA7)&gt;=1,"",ROW())</f>
        <v>7</v>
      </c>
      <c r="BC7" t="str">
        <f t="shared" si="39"/>
        <v>Spreadsheet Development</v>
      </c>
      <c r="BE7" t="s">
        <v>367</v>
      </c>
      <c r="BF7">
        <f>IF(COUNTIF('Ext Cert'!$E$20:$E$83,BE7)&gt;=1,"",ROW())</f>
        <v>7</v>
      </c>
      <c r="BG7" t="str">
        <f t="shared" si="40"/>
        <v>Introducing Choral Studies</v>
      </c>
      <c r="BM7" t="s">
        <v>399</v>
      </c>
      <c r="BN7">
        <f>IF(COUNTIF('Ext Cert'!$E$20:$E$83,BM7)&gt;=1,"",ROW())</f>
        <v>7</v>
      </c>
      <c r="BO7" t="str">
        <f t="shared" si="42"/>
        <v>Voice and Speech for Performers</v>
      </c>
      <c r="BQ7" t="s">
        <v>399</v>
      </c>
      <c r="BR7">
        <f>IF(COUNTIF('Ext Cert'!$E$20:$E$83,BQ7)&gt;=1,"",ROW())</f>
        <v>7</v>
      </c>
      <c r="BS7" t="str">
        <f t="shared" si="43"/>
        <v>Voice and Speech for Performers</v>
      </c>
      <c r="BU7" t="s">
        <v>406</v>
      </c>
      <c r="BV7">
        <f>IF(COUNTIF('Ext Cert'!$E$20:$E$83,BU7)&gt;=1,"",ROW())</f>
        <v>7</v>
      </c>
      <c r="BW7" t="str">
        <f t="shared" si="44"/>
        <v>Realising Set Design for Performance</v>
      </c>
      <c r="BY7" t="s">
        <v>401</v>
      </c>
      <c r="BZ7">
        <f>IF(COUNTIF('Ext Cert'!$E$20:$E$83,BY7)&gt;=1,"",ROW())</f>
        <v>7</v>
      </c>
      <c r="CA7" t="str">
        <f t="shared" si="45"/>
        <v>Contemporary Dance Techniques</v>
      </c>
      <c r="CC7" t="s">
        <v>407</v>
      </c>
      <c r="CD7">
        <f>IF(COUNTIF('Ext Cert'!$E$20:$E$83,CC7)&gt;=1,"",ROW())</f>
        <v>7</v>
      </c>
      <c r="CE7" t="str">
        <f t="shared" si="46"/>
        <v>Realising Prop Design for Performance</v>
      </c>
      <c r="CG7" t="s">
        <v>408</v>
      </c>
      <c r="CH7">
        <f>IF(COUNTIF('Ext Cert'!$E$20:$E$83,CG7)&gt;=1,"",ROW())</f>
        <v>7</v>
      </c>
      <c r="CI7" t="str">
        <f t="shared" si="47"/>
        <v>Realising Mask Design for Performance</v>
      </c>
      <c r="CK7" t="s">
        <v>400</v>
      </c>
      <c r="CL7">
        <f>IF(COUNTIF('Ext Cert'!$E$20:$E$83,CK7)&gt;=1,"",ROW())</f>
        <v>7</v>
      </c>
      <c r="CM7" t="str">
        <f t="shared" si="48"/>
        <v>Performing Scripted Plays</v>
      </c>
      <c r="CO7" t="s">
        <v>443</v>
      </c>
      <c r="CP7">
        <f>IF(OR(COUNTIF('Ext Cert'!$E$20:$E$83,CO7)&gt;=1,COUNTIF('Ext Cert'!$E$20:$E$83,CO11)&gt;=1),"",ROW())</f>
        <v>7</v>
      </c>
      <c r="CQ7" t="str">
        <f t="shared" si="49"/>
        <v>Adventurous Activities in the Public Services</v>
      </c>
      <c r="CS7" t="s">
        <v>469</v>
      </c>
      <c r="CT7">
        <f>IF(COUNTIF('Ext Cert'!$E$20:$E$83,CS7)&gt;=1,"",ROW())</f>
        <v>7</v>
      </c>
      <c r="CU7" t="str">
        <f t="shared" si="50"/>
        <v>Lifestyle and Well-being</v>
      </c>
      <c r="CW7" t="s">
        <v>491</v>
      </c>
      <c r="CX7">
        <f>IF(COUNTIF('Ext Cert'!$E$20:$E$83,CW7)&gt;=1,"",ROW())</f>
        <v>7</v>
      </c>
      <c r="CY7" t="str">
        <f t="shared" si="51"/>
        <v>Organising a Travel and Tourism Study Visit</v>
      </c>
      <c r="DE7" t="s">
        <v>227</v>
      </c>
      <c r="DF7">
        <f>IF(COUNTIF('Ext Cert'!$E$20:$E$83,DE7)&gt;=1,"",ROW())</f>
        <v>7</v>
      </c>
      <c r="DG7" t="str">
        <f t="shared" si="53"/>
        <v>Writing for Digital Media</v>
      </c>
    </row>
    <row r="8" spans="1:111" x14ac:dyDescent="0.25">
      <c r="A8" t="s">
        <v>30</v>
      </c>
      <c r="B8">
        <f>IF(COUNTIF('Ext Cert'!$E$20:$E$83,A8)&gt;=1,"",ROW())</f>
        <v>8</v>
      </c>
      <c r="C8" t="str">
        <f t="shared" si="26"/>
        <v>Investigating a Crime Scene</v>
      </c>
      <c r="E8" t="s">
        <v>118</v>
      </c>
      <c r="F8">
        <f>IF(OR(COUNTIF('Ext Cert'!$E$20:$E$83,E8)&gt;=1,COUNTIF('Ext Cert'!$E$20:$E$83,E2)&gt;=1),"",ROW())</f>
        <v>8</v>
      </c>
      <c r="G8" t="str">
        <f t="shared" si="27"/>
        <v>Graphic Design Briefs</v>
      </c>
      <c r="I8" t="s">
        <v>123</v>
      </c>
      <c r="J8">
        <f>IF(COUNTIF('Ext Cert'!$E$20:$E$83,I8)&gt;=1,"",ROW())</f>
        <v>8</v>
      </c>
      <c r="K8" t="str">
        <f t="shared" si="28"/>
        <v>Art, Craft and Design in the Creative Industries</v>
      </c>
      <c r="M8" t="s">
        <v>123</v>
      </c>
      <c r="N8">
        <f>IF(COUNTIF('Ext Cert'!$E$20:$E$83,M8)&gt;=1,"",ROW())</f>
        <v>8</v>
      </c>
      <c r="O8" t="str">
        <f t="shared" si="29"/>
        <v>Art, Craft and Design in the Creative Industries</v>
      </c>
      <c r="Q8" t="s">
        <v>111</v>
      </c>
      <c r="R8">
        <f>IF(COUNTIF('Ext Cert'!$E$20:$E$83,Q8)&gt;=1,"",ROW())</f>
        <v>8</v>
      </c>
      <c r="S8" t="str">
        <f t="shared" si="30"/>
        <v>Applying Contextual References in Art and Design</v>
      </c>
      <c r="U8" t="s">
        <v>119</v>
      </c>
      <c r="V8">
        <f>IF(COUNTIF('Ext Cert'!$E$20:$E$83,U8)&gt;=1,"",ROW())</f>
        <v>8</v>
      </c>
      <c r="W8" t="str">
        <f t="shared" si="31"/>
        <v>Textiles Briefs</v>
      </c>
      <c r="Y8" t="s">
        <v>121</v>
      </c>
      <c r="Z8">
        <f>IF(COUNTIF('Ext Cert'!$E$20:$E$83,Y8)&gt;=1,"",ROW())</f>
        <v>8</v>
      </c>
      <c r="AA8" t="str">
        <f t="shared" si="32"/>
        <v>Photography Briefs</v>
      </c>
      <c r="AC8" t="s">
        <v>122</v>
      </c>
      <c r="AD8">
        <f>IF(COUNTIF('Ext Cert'!$E$20:$E$83,AC8)&gt;=1,"",ROW())</f>
        <v>8</v>
      </c>
      <c r="AE8" t="str">
        <f t="shared" si="33"/>
        <v>Designing for the Future</v>
      </c>
      <c r="AG8" t="s">
        <v>163</v>
      </c>
      <c r="AH8">
        <f>IF(COUNTIF('Ext Cert'!$E$20:$E$83,AG8)&gt;=1,"",ROW())</f>
        <v>8</v>
      </c>
      <c r="AI8" t="str">
        <f t="shared" si="34"/>
        <v>Using Business Documentation</v>
      </c>
      <c r="AK8" t="s">
        <v>195</v>
      </c>
      <c r="AL8">
        <f>IF(COUNTIF('Ext Cert'!$E$20:$E$83,AK8)&gt;=1,"",ROW())</f>
        <v>8</v>
      </c>
      <c r="AM8" t="str">
        <f t="shared" si="35"/>
        <v>Construction Drawing Techniques</v>
      </c>
      <c r="AO8" t="s">
        <v>248</v>
      </c>
      <c r="AP8">
        <f>IF(COUNTIF('Ext Cert'!$E$20:$E$83,AO8)&gt;=1,"",ROW())</f>
        <v>8</v>
      </c>
      <c r="AQ8" t="str">
        <f t="shared" si="36"/>
        <v>Electrical and Mechanical Science for Engineering</v>
      </c>
      <c r="AS8" t="s">
        <v>297</v>
      </c>
      <c r="AT8">
        <f>IF(COUNTIF('Ext Cert'!$E$20:$E$83,AS8)&gt;=1,"",ROW())</f>
        <v>8</v>
      </c>
      <c r="AU8" t="str">
        <f t="shared" si="37"/>
        <v>Services in Health and Social Care</v>
      </c>
      <c r="AW8" t="s">
        <v>316</v>
      </c>
      <c r="AX8">
        <f>IF(COUNTIF('Ext Cert'!$E$20:$E$83,AW8)&gt;=1,"",ROW())</f>
        <v>8</v>
      </c>
      <c r="AY8" t="str">
        <f t="shared" si="38"/>
        <v>Accommodation Services in the Hospitality Industry</v>
      </c>
      <c r="BA8" t="s">
        <v>333</v>
      </c>
      <c r="BB8">
        <f>IF(COUNTIF('Ext Cert'!$E$20:$E$83,BA8)&gt;=1,"",ROW())</f>
        <v>8</v>
      </c>
      <c r="BC8" t="str">
        <f t="shared" si="39"/>
        <v>Database Development</v>
      </c>
      <c r="BE8" t="s">
        <v>368</v>
      </c>
      <c r="BF8">
        <f>IF(COUNTIF('Ext Cert'!$E$20:$E$83,BE8)&gt;=1,"",ROW())</f>
        <v>8</v>
      </c>
      <c r="BG8" t="str">
        <f t="shared" si="40"/>
        <v>Introducing Music Theory</v>
      </c>
      <c r="BM8" t="s">
        <v>400</v>
      </c>
      <c r="BN8">
        <f>IF(COUNTIF('Ext Cert'!$E$20:$E$83,BM8)&gt;=1,"",ROW())</f>
        <v>8</v>
      </c>
      <c r="BO8" t="str">
        <f t="shared" si="42"/>
        <v>Performing Scripted Plays</v>
      </c>
      <c r="BQ8" t="s">
        <v>400</v>
      </c>
      <c r="BR8">
        <f>IF(COUNTIF('Ext Cert'!$E$20:$E$83,BQ8)&gt;=1,"",ROW())</f>
        <v>8</v>
      </c>
      <c r="BS8" t="str">
        <f t="shared" si="43"/>
        <v>Performing Scripted Plays</v>
      </c>
      <c r="BU8" t="s">
        <v>407</v>
      </c>
      <c r="BV8">
        <f>IF(COUNTIF('Ext Cert'!$E$20:$E$83,BU8)&gt;=1,"",ROW())</f>
        <v>8</v>
      </c>
      <c r="BW8" t="str">
        <f t="shared" si="44"/>
        <v>Realising Prop Design for Performance</v>
      </c>
      <c r="BY8" t="s">
        <v>402</v>
      </c>
      <c r="BZ8">
        <f>IF(COUNTIF('Ext Cert'!$E$20:$E$83,BY8)&gt;=1,"",ROW())</f>
        <v>8</v>
      </c>
      <c r="CA8" t="str">
        <f t="shared" si="45"/>
        <v>Exploring Urban Dance Styles</v>
      </c>
      <c r="CC8" t="s">
        <v>408</v>
      </c>
      <c r="CD8">
        <f>IF(COUNTIF('Ext Cert'!$E$20:$E$83,CC8)&gt;=1,"",ROW())</f>
        <v>8</v>
      </c>
      <c r="CE8" t="str">
        <f t="shared" si="46"/>
        <v>Realising Mask Design for Performance</v>
      </c>
      <c r="CG8" t="s">
        <v>409</v>
      </c>
      <c r="CH8">
        <f>IF(COUNTIF('Ext Cert'!$E$20:$E$83,CG8)&gt;=1,"",ROW())</f>
        <v>8</v>
      </c>
      <c r="CI8" t="str">
        <f t="shared" si="47"/>
        <v>Lighting for Performance</v>
      </c>
      <c r="CK8" t="s">
        <v>401</v>
      </c>
      <c r="CL8">
        <f>IF(COUNTIF('Ext Cert'!$E$20:$E$83,CK8)&gt;=1,"",ROW())</f>
        <v>8</v>
      </c>
      <c r="CM8" t="str">
        <f t="shared" si="48"/>
        <v>Contemporary Dance Techniques</v>
      </c>
      <c r="CO8" t="s">
        <v>444</v>
      </c>
      <c r="CP8">
        <f>IF(COUNTIF('Ext Cert'!$E$20:$E$83,CO8)&gt;=1,"",ROW())</f>
        <v>8</v>
      </c>
      <c r="CQ8" t="str">
        <f t="shared" si="49"/>
        <v>Sport and Recreation in the Public Services</v>
      </c>
      <c r="CS8" t="s">
        <v>470</v>
      </c>
      <c r="CT8">
        <f>IF(COUNTIF('Ext Cert'!$E$20:$E$83,CS8)&gt;=1,"",ROW())</f>
        <v>8</v>
      </c>
      <c r="CU8" t="str">
        <f t="shared" si="50"/>
        <v>Injury and the Sports Performer</v>
      </c>
      <c r="CW8" t="s">
        <v>488</v>
      </c>
      <c r="CX8">
        <f>IF(OR(COUNTIF('Ext Cert'!$E$20:$E$83,CW8)&gt;=1,COUNTIF('Ext Cert'!$E$20:$E$83,CW4)&gt;=1),"",ROW())</f>
        <v>8</v>
      </c>
      <c r="CY8" t="str">
        <f t="shared" si="51"/>
        <v>Delivering the Travel and Tourism Customer Experience</v>
      </c>
      <c r="DE8" t="s">
        <v>228</v>
      </c>
      <c r="DF8">
        <f>IF(COUNTIF('Ext Cert'!$E$20:$E$83,DE8)&gt;=1,"",ROW())</f>
        <v>8</v>
      </c>
      <c r="DG8" t="str">
        <f t="shared" si="53"/>
        <v>Digital Games Testing</v>
      </c>
    </row>
    <row r="9" spans="1:111" x14ac:dyDescent="0.25">
      <c r="A9" t="s">
        <v>31</v>
      </c>
      <c r="B9">
        <f>IF(COUNTIF('Ext Cert'!$E$20:$E$83,A9)&gt;=1,"",ROW())</f>
        <v>9</v>
      </c>
      <c r="C9" t="str">
        <f t="shared" si="26"/>
        <v>Science in Medicine</v>
      </c>
      <c r="E9" t="s">
        <v>119</v>
      </c>
      <c r="F9">
        <f>IF(COUNTIF('Ext Cert'!$E$20:$E$83,E9)&gt;=1,"",ROW())</f>
        <v>9</v>
      </c>
      <c r="G9" t="str">
        <f t="shared" si="27"/>
        <v>Textiles Briefs</v>
      </c>
      <c r="I9" t="s">
        <v>127</v>
      </c>
      <c r="J9">
        <f>IF(OR(COUNTIF('Ext Cert'!$E$20:$E$83,I9)&gt;=1,COUNTIF('Ext Cert'!$E$20:$E$83,I2)&gt;=1),"",ROW())</f>
        <v>9</v>
      </c>
      <c r="K9" t="str">
        <f t="shared" si="28"/>
        <v>Painting Briefs</v>
      </c>
      <c r="M9" t="s">
        <v>128</v>
      </c>
      <c r="N9">
        <f>IF(COUNTIF('Ext Cert'!$E$20:$E$83,M9)&gt;=1,"",ROW())</f>
        <v>9</v>
      </c>
      <c r="O9" t="str">
        <f t="shared" si="29"/>
        <v>Designing Products</v>
      </c>
      <c r="Q9" t="s">
        <v>123</v>
      </c>
      <c r="R9">
        <f>IF(COUNTIF('Ext Cert'!$E$20:$E$83,Q9)&gt;=1,"",ROW())</f>
        <v>9</v>
      </c>
      <c r="S9" t="str">
        <f t="shared" si="30"/>
        <v>Art, Craft and Design in the Creative Industries</v>
      </c>
      <c r="U9" t="s">
        <v>111</v>
      </c>
      <c r="V9">
        <f>IF(COUNTIF('Ext Cert'!$E$20:$E$83,U9)&gt;=1,"",ROW())</f>
        <v>9</v>
      </c>
      <c r="W9" t="str">
        <f t="shared" si="31"/>
        <v>Applying Contextual References in Art and Design</v>
      </c>
      <c r="Y9" t="s">
        <v>111</v>
      </c>
      <c r="Z9">
        <f>IF(COUNTIF('Ext Cert'!$E$20:$E$83,Y9)&gt;=1,"",ROW())</f>
        <v>9</v>
      </c>
      <c r="AA9" t="str">
        <f t="shared" si="32"/>
        <v>Applying Contextual References in Art and Design</v>
      </c>
      <c r="AC9" t="s">
        <v>111</v>
      </c>
      <c r="AD9">
        <f>IF(COUNTIF('Ext Cert'!$E$20:$E$83,AC9)&gt;=1,"",ROW())</f>
        <v>9</v>
      </c>
      <c r="AE9" t="str">
        <f t="shared" si="33"/>
        <v>Applying Contextual References in Art and Design</v>
      </c>
      <c r="AG9" t="s">
        <v>164</v>
      </c>
      <c r="AH9">
        <f>IF(COUNTIF('Ext Cert'!$E$20:$E$83,AG9)&gt;=1,"",ROW())</f>
        <v>9</v>
      </c>
      <c r="AI9" t="str">
        <f t="shared" si="34"/>
        <v>Building Successful Business Teams</v>
      </c>
      <c r="AK9" t="s">
        <v>188</v>
      </c>
      <c r="AL9">
        <f>IF(COUNTIF('Ext Cert'!$E$20:$E$83,AK9)&gt;=1,"",ROW())</f>
        <v>9</v>
      </c>
      <c r="AM9" t="str">
        <f t="shared" si="35"/>
        <v>Exploring Carpentry and Joinery Principles and Techniques</v>
      </c>
      <c r="AO9" t="s">
        <v>243</v>
      </c>
      <c r="AP9">
        <f>IF(COUNTIF('Ext Cert'!$E$20:$E$83,AO9)&gt;=1,"",ROW())</f>
        <v>9</v>
      </c>
      <c r="AQ9" t="str">
        <f t="shared" si="36"/>
        <v>Engineering Design</v>
      </c>
      <c r="AS9" t="s">
        <v>287</v>
      </c>
      <c r="AT9">
        <f>IF(COUNTIF('Ext Cert'!$E$20:$E$83,AS9)&gt;=1,"",ROW())</f>
        <v>9</v>
      </c>
      <c r="AU9" t="str">
        <f t="shared" si="37"/>
        <v>Creative and Therapeutic Activities in Health and Social Care</v>
      </c>
      <c r="AW9" t="s">
        <v>317</v>
      </c>
      <c r="AX9">
        <f>IF(COUNTIF('Ext Cert'!$E$20:$E$83,AW9)&gt;=1,"",ROW())</f>
        <v>9</v>
      </c>
      <c r="AY9" t="str">
        <f t="shared" si="38"/>
        <v>Planning and Running a Hospitality Event</v>
      </c>
      <c r="BA9" t="s">
        <v>334</v>
      </c>
      <c r="BB9">
        <f>IF(COUNTIF('Ext Cert'!$E$20:$E$83,BA9)&gt;=1,"",ROW())</f>
        <v>9</v>
      </c>
      <c r="BC9" t="str">
        <f t="shared" si="39"/>
        <v>Computer Networks</v>
      </c>
      <c r="BE9" t="s">
        <v>369</v>
      </c>
      <c r="BF9">
        <f>IF(COUNTIF('Ext Cert'!$E$20:$E$83,BE9)&gt;=1,"",ROW())</f>
        <v>9</v>
      </c>
      <c r="BG9" t="str">
        <f t="shared" si="40"/>
        <v>Developing Solo Music Performance</v>
      </c>
      <c r="BM9" t="s">
        <v>401</v>
      </c>
      <c r="BN9">
        <f>IF(COUNTIF('Ext Cert'!$E$20:$E$83,BM9)&gt;=1,"",ROW())</f>
        <v>9</v>
      </c>
      <c r="BO9" t="str">
        <f t="shared" si="42"/>
        <v>Contemporary Dance Techniques</v>
      </c>
      <c r="BQ9" t="s">
        <v>388</v>
      </c>
      <c r="BR9">
        <f>IF(COUNTIF('Ext Cert'!$E$20:$E$83,BQ9)&gt;=1,"",ROW())</f>
        <v>9</v>
      </c>
      <c r="BS9" t="str">
        <f t="shared" si="43"/>
        <v>Community Arts</v>
      </c>
      <c r="BU9" t="s">
        <v>408</v>
      </c>
      <c r="BV9">
        <f>IF(COUNTIF('Ext Cert'!$E$20:$E$83,BU9)&gt;=1,"",ROW())</f>
        <v>9</v>
      </c>
      <c r="BW9" t="str">
        <f t="shared" si="44"/>
        <v>Realising Mask Design for Performance</v>
      </c>
      <c r="BY9" t="s">
        <v>403</v>
      </c>
      <c r="BZ9">
        <f>IF(COUNTIF('Ext Cert'!$E$20:$E$83,BY9)&gt;=1,"",ROW())</f>
        <v>9</v>
      </c>
      <c r="CA9" t="str">
        <f t="shared" si="45"/>
        <v>Jazz Dance Techniques</v>
      </c>
      <c r="CC9" t="s">
        <v>409</v>
      </c>
      <c r="CD9">
        <f>IF(COUNTIF('Ext Cert'!$E$20:$E$83,CC9)&gt;=1,"",ROW())</f>
        <v>9</v>
      </c>
      <c r="CE9" t="str">
        <f t="shared" si="46"/>
        <v>Lighting for Performance</v>
      </c>
      <c r="CG9" t="s">
        <v>410</v>
      </c>
      <c r="CH9">
        <f>IF(COUNTIF('Ext Cert'!$E$20:$E$83,CG9)&gt;=1,"",ROW())</f>
        <v>9</v>
      </c>
      <c r="CI9" t="str">
        <f t="shared" si="47"/>
        <v>Sound for Performance</v>
      </c>
      <c r="CK9" t="s">
        <v>402</v>
      </c>
      <c r="CL9">
        <f>IF(COUNTIF('Ext Cert'!$E$20:$E$83,CK9)&gt;=1,"",ROW())</f>
        <v>9</v>
      </c>
      <c r="CM9" t="str">
        <f t="shared" si="48"/>
        <v>Exploring Urban Dance Styles</v>
      </c>
      <c r="CO9" t="s">
        <v>445</v>
      </c>
      <c r="CP9">
        <f>IF(COUNTIF('Ext Cert'!$E$20:$E$83,CO9)&gt;=1,"",ROW())</f>
        <v>9</v>
      </c>
      <c r="CQ9" t="str">
        <f t="shared" si="49"/>
        <v>Land Navigation by Map and Compass</v>
      </c>
      <c r="CS9" t="s">
        <v>471</v>
      </c>
      <c r="CT9">
        <f>IF(COUNTIF('Ext Cert'!$E$20:$E$83,CS9)&gt;=1,"",ROW())</f>
        <v>9</v>
      </c>
      <c r="CU9" t="str">
        <f t="shared" si="50"/>
        <v>Running a Sports Event</v>
      </c>
      <c r="CW9" t="s">
        <v>492</v>
      </c>
      <c r="CX9">
        <f>IF(COUNTIF('Ext Cert'!$E$20:$E$83,CW9)&gt;=1,"",ROW())</f>
        <v>9</v>
      </c>
      <c r="CY9" t="str">
        <f t="shared" si="51"/>
        <v>Marketing in Travel and Tourism</v>
      </c>
      <c r="DE9" t="s">
        <v>229</v>
      </c>
      <c r="DF9">
        <f>IF(COUNTIF('Ext Cert'!$E$20:$E$83,DE9)&gt;=1,"",ROW())</f>
        <v>9</v>
      </c>
      <c r="DG9" t="str">
        <f t="shared" si="53"/>
        <v>Digital Art for a Media Product</v>
      </c>
    </row>
    <row r="10" spans="1:111" x14ac:dyDescent="0.25">
      <c r="A10" t="s">
        <v>32</v>
      </c>
      <c r="B10">
        <f>IF(COUNTIF('Ext Cert'!$E$20:$E$83,A10)&gt;=1,"",ROW())</f>
        <v>10</v>
      </c>
      <c r="C10" t="str">
        <f t="shared" si="26"/>
        <v>Understanding Human Behaviour</v>
      </c>
      <c r="E10" t="s">
        <v>120</v>
      </c>
      <c r="F10">
        <f>IF(OR(COUNTIF('Ext Cert'!$E$20:$E$83,E10)&gt;=1,COUNTIF('Ext Cert'!$E$20:$E$83,E2)&gt;=1,COUNTIF('Ext Cert'!$E$20:$E$83,E3)&gt;=1),"",ROW())</f>
        <v>10</v>
      </c>
      <c r="G10" t="str">
        <f t="shared" si="27"/>
        <v>Visual Arts Briefs</v>
      </c>
      <c r="M10" t="s">
        <v>130</v>
      </c>
      <c r="N10">
        <f>IF(COUNTIF('Ext Cert'!$E$20:$E$83,M10)&gt;=1,"",ROW())</f>
        <v>10</v>
      </c>
      <c r="O10" t="str">
        <f t="shared" si="29"/>
        <v>Fashion Promotion</v>
      </c>
      <c r="Q10" t="s">
        <v>126</v>
      </c>
      <c r="R10">
        <f>IF(COUNTIF('Ext Cert'!$E$20:$E$83,Q10)&gt;=1,"",ROW())</f>
        <v>10</v>
      </c>
      <c r="S10" t="str">
        <f t="shared" si="30"/>
        <v>Interactive Media Production Briefs</v>
      </c>
      <c r="U10" t="s">
        <v>123</v>
      </c>
      <c r="V10">
        <f>IF(COUNTIF('Ext Cert'!$E$20:$E$83,U10)&gt;=1,"",ROW())</f>
        <v>10</v>
      </c>
      <c r="W10" t="str">
        <f t="shared" si="31"/>
        <v>Art, Craft and Design in the Creative Industries</v>
      </c>
      <c r="Y10" t="s">
        <v>123</v>
      </c>
      <c r="Z10">
        <f>IF(COUNTIF('Ext Cert'!$E$20:$E$83,Y10)&gt;=1,"",ROW())</f>
        <v>10</v>
      </c>
      <c r="AA10" t="str">
        <f t="shared" si="32"/>
        <v>Art, Craft and Design in the Creative Industries</v>
      </c>
      <c r="AC10" t="s">
        <v>123</v>
      </c>
      <c r="AD10">
        <f>IF(COUNTIF('Ext Cert'!$E$20:$E$83,AC10)&gt;=1,"",ROW())</f>
        <v>10</v>
      </c>
      <c r="AE10" t="str">
        <f t="shared" si="33"/>
        <v>Art, Craft and Design in the Creative Industries</v>
      </c>
      <c r="AG10" t="s">
        <v>165</v>
      </c>
      <c r="AH10">
        <f>IF(COUNTIF('Ext Cert'!$E$20:$E$83,AG10)&gt;=1,"",ROW())</f>
        <v>10</v>
      </c>
      <c r="AI10" t="str">
        <f t="shared" si="34"/>
        <v>Introducing Law and Consumer Rights</v>
      </c>
      <c r="AK10" t="s">
        <v>196</v>
      </c>
      <c r="AL10">
        <f>IF(COUNTIF('Ext Cert'!$E$20:$E$83,AK10)&gt;=1,"",ROW())</f>
        <v>10</v>
      </c>
      <c r="AM10" t="str">
        <f t="shared" si="35"/>
        <v>Exploring Brickwork and Blockwork Principles and Techniques</v>
      </c>
      <c r="AO10" t="s">
        <v>249</v>
      </c>
      <c r="AP10">
        <f>IF(COUNTIF('Ext Cert'!$E$20:$E$83,AO10)&gt;=1,"",ROW())</f>
        <v>10</v>
      </c>
      <c r="AQ10" t="str">
        <f t="shared" si="36"/>
        <v>Engineering Assembly</v>
      </c>
      <c r="AS10" t="s">
        <v>519</v>
      </c>
      <c r="AT10">
        <f>IF(OR(COUNTIF('Ext Cert'!$E$20:$E$83,AS10)&gt;=1,COUNTIF('Ext Cert'!$E$20:$E$83,AS11)&gt;=1),"",ROW())</f>
        <v>10</v>
      </c>
      <c r="AU10" t="str">
        <f t="shared" si="37"/>
        <v>The Health and Social Care Sector</v>
      </c>
      <c r="AW10" t="s">
        <v>318</v>
      </c>
      <c r="AX10">
        <f>IF(COUNTIF('Ext Cert'!$E$20:$E$83,AW10)&gt;=1,"",ROW())</f>
        <v>10</v>
      </c>
      <c r="AY10" t="str">
        <f t="shared" si="38"/>
        <v>Contemporary World Food Cooking Skills</v>
      </c>
      <c r="BA10" t="s">
        <v>335</v>
      </c>
      <c r="BB10">
        <f>IF(COUNTIF('Ext Cert'!$E$20:$E$83,BA10)&gt;=1,"",ROW())</f>
        <v>10</v>
      </c>
      <c r="BC10" t="str">
        <f t="shared" si="39"/>
        <v>Software Development</v>
      </c>
      <c r="BE10" t="s">
        <v>370</v>
      </c>
      <c r="BF10">
        <f>IF(COUNTIF('Ext Cert'!$E$20:$E$83,BE10)&gt;=1,"",ROW())</f>
        <v>10</v>
      </c>
      <c r="BG10" t="str">
        <f t="shared" si="40"/>
        <v>The Development of Music</v>
      </c>
      <c r="BM10" t="s">
        <v>402</v>
      </c>
      <c r="BN10">
        <f>IF(COUNTIF('Ext Cert'!$E$20:$E$83,BM10)&gt;=1,"",ROW())</f>
        <v>10</v>
      </c>
      <c r="BO10" t="str">
        <f t="shared" si="42"/>
        <v>Exploring Urban Dance Styles</v>
      </c>
      <c r="BQ10" t="s">
        <v>416</v>
      </c>
      <c r="BR10">
        <f>IF(COUNTIF('Ext Cert'!$E$20:$E$83,BQ10)&gt;=1,"",ROW())</f>
        <v>10</v>
      </c>
      <c r="BS10" t="str">
        <f t="shared" si="43"/>
        <v>Directing Performance</v>
      </c>
      <c r="BU10" t="s">
        <v>409</v>
      </c>
      <c r="BV10">
        <f>IF(COUNTIF('Ext Cert'!$E$20:$E$83,BU10)&gt;=1,"",ROW())</f>
        <v>10</v>
      </c>
      <c r="BW10" t="str">
        <f t="shared" si="44"/>
        <v>Lighting for Performance</v>
      </c>
      <c r="BY10" t="s">
        <v>388</v>
      </c>
      <c r="BZ10">
        <f>IF(COUNTIF('Ext Cert'!$E$20:$E$83,BY10)&gt;=1,"",ROW())</f>
        <v>10</v>
      </c>
      <c r="CA10" t="str">
        <f t="shared" si="45"/>
        <v>Community Arts</v>
      </c>
      <c r="CC10" t="s">
        <v>410</v>
      </c>
      <c r="CD10">
        <f>IF(COUNTIF('Ext Cert'!$E$20:$E$83,CC10)&gt;=1,"",ROW())</f>
        <v>10</v>
      </c>
      <c r="CE10" t="str">
        <f t="shared" si="46"/>
        <v>Sound for Performance</v>
      </c>
      <c r="CG10" t="s">
        <v>411</v>
      </c>
      <c r="CH10">
        <f>IF(COUNTIF('Ext Cert'!$E$20:$E$83,CG10)&gt;=1,"",ROW())</f>
        <v>10</v>
      </c>
      <c r="CI10" t="str">
        <f t="shared" si="47"/>
        <v>Supporting Performance: Stage Management</v>
      </c>
      <c r="CK10" t="s">
        <v>403</v>
      </c>
      <c r="CL10">
        <f>IF(COUNTIF('Ext Cert'!$E$20:$E$83,CK10)&gt;=1,"",ROW())</f>
        <v>10</v>
      </c>
      <c r="CM10" t="str">
        <f t="shared" si="48"/>
        <v>Jazz Dance Techniques</v>
      </c>
      <c r="CO10" t="s">
        <v>446</v>
      </c>
      <c r="CP10">
        <f>IF(COUNTIF('Ext Cert'!$E$20:$E$83,CO10)&gt;=1,"",ROW())</f>
        <v>10</v>
      </c>
      <c r="CQ10" t="str">
        <f t="shared" si="49"/>
        <v>Volunteering for the Public Services</v>
      </c>
      <c r="CS10" t="s">
        <v>472</v>
      </c>
      <c r="CT10">
        <f>IF(COUNTIF('Ext Cert'!$E$20:$E$83,CS10)&gt;=1,"",ROW())</f>
        <v>10</v>
      </c>
      <c r="CU10" t="str">
        <f t="shared" si="50"/>
        <v>The Sport and Active Leisure Industry</v>
      </c>
      <c r="CW10" t="s">
        <v>493</v>
      </c>
      <c r="CX10">
        <f>IF(COUNTIF('Ext Cert'!$E$20:$E$83,CW10)&gt;=1,"",ROW())</f>
        <v>10</v>
      </c>
      <c r="CY10" t="str">
        <f t="shared" si="51"/>
        <v>Airports and Airlines</v>
      </c>
      <c r="DE10" t="s">
        <v>230</v>
      </c>
      <c r="DF10">
        <f>IF(COUNTIF('Ext Cert'!$E$20:$E$83,DE10)&gt;=1,"",ROW())</f>
        <v>10</v>
      </c>
      <c r="DG10" t="str">
        <f t="shared" si="53"/>
        <v>Digital Audio Mixing</v>
      </c>
    </row>
    <row r="11" spans="1:111" x14ac:dyDescent="0.25">
      <c r="A11" t="s">
        <v>33</v>
      </c>
      <c r="B11">
        <f>IF(COUNTIF('Ext Cert'!$E$20:$E$83,A11)&gt;=1,"",ROW())</f>
        <v>11</v>
      </c>
      <c r="C11" t="str">
        <f t="shared" si="26"/>
        <v>Designing and Making Useful Devices in Science</v>
      </c>
      <c r="E11" t="s">
        <v>121</v>
      </c>
      <c r="F11">
        <f>IF(COUNTIF('Ext Cert'!$E$20:$E$83,E11)&gt;=1,"",ROW())</f>
        <v>11</v>
      </c>
      <c r="G11" t="str">
        <f t="shared" si="27"/>
        <v>Photography Briefs</v>
      </c>
      <c r="M11" t="s">
        <v>140</v>
      </c>
      <c r="N11">
        <f>IF(COUNTIF('Ext Cert'!$E$20:$E$83,M11)&gt;=1,"",ROW())</f>
        <v>11</v>
      </c>
      <c r="O11" t="str">
        <f t="shared" si="29"/>
        <v>Fashion Retail</v>
      </c>
      <c r="Q11" t="s">
        <v>128</v>
      </c>
      <c r="R11">
        <f>IF(OR(COUNTIF('Ext Cert'!$E$20:$E$83,Q11)&gt;=1,COUNTIF('Ext Cert'!$E$20:$E$83,Q3)&gt;=1),"",ROW())</f>
        <v>11</v>
      </c>
      <c r="S11" t="str">
        <f t="shared" si="30"/>
        <v>Designing Products</v>
      </c>
      <c r="U11" t="s">
        <v>125</v>
      </c>
      <c r="V11">
        <f>IF(COUNTIF('Ext Cert'!$E$20:$E$83,U11)&gt;=1,"",ROW())</f>
        <v>11</v>
      </c>
      <c r="W11" t="str">
        <f t="shared" si="31"/>
        <v>Digital Art and Design Briefs</v>
      </c>
      <c r="Y11" t="s">
        <v>126</v>
      </c>
      <c r="Z11">
        <f>IF(COUNTIF('Ext Cert'!$E$20:$E$83,Y11)&gt;=1,"",ROW())</f>
        <v>11</v>
      </c>
      <c r="AA11" t="str">
        <f t="shared" si="32"/>
        <v>Interactive Media Production Briefs</v>
      </c>
      <c r="AC11" t="s">
        <v>125</v>
      </c>
      <c r="AD11">
        <f>IF(COUNTIF('Ext Cert'!$E$20:$E$83,AC11)&gt;=1,"",ROW())</f>
        <v>11</v>
      </c>
      <c r="AE11" t="str">
        <f t="shared" si="33"/>
        <v>Digital Art and Design Briefs</v>
      </c>
      <c r="AG11" t="s">
        <v>166</v>
      </c>
      <c r="AH11">
        <f>IF(COUNTIF('Ext Cert'!$E$20:$E$83,AG11)&gt;=1,"",ROW())</f>
        <v>11</v>
      </c>
      <c r="AI11" t="str">
        <f t="shared" si="34"/>
        <v>Financial Planning and Forecasting</v>
      </c>
      <c r="AK11" t="s">
        <v>197</v>
      </c>
      <c r="AL11">
        <f>IF(COUNTIF('Ext Cert'!$E$20:$E$83,AK11)&gt;=1,"",ROW())</f>
        <v>11</v>
      </c>
      <c r="AM11" t="str">
        <f t="shared" si="35"/>
        <v>Exploring Painting and Decorating Principles and Techniques</v>
      </c>
      <c r="AO11" t="s">
        <v>250</v>
      </c>
      <c r="AP11">
        <f>IF(COUNTIF('Ext Cert'!$E$20:$E$83,AO11)&gt;=1,"",ROW())</f>
        <v>11</v>
      </c>
      <c r="AQ11" t="str">
        <f t="shared" si="36"/>
        <v>Vehicle Engines and Other Systems</v>
      </c>
      <c r="AS11" t="s">
        <v>520</v>
      </c>
      <c r="AT11">
        <f>IF(OR(COUNTIF('Ext Cert'!$E$20:$E$83,AS11)&gt;=1,COUNTIF('Ext Cert'!$E$20:$E$83,AS10)&gt;=1),"",ROW())</f>
        <v>11</v>
      </c>
      <c r="AU11" t="str">
        <f t="shared" si="37"/>
        <v>The Early Years Sector</v>
      </c>
      <c r="AW11" t="s">
        <v>319</v>
      </c>
      <c r="AX11">
        <f>IF(COUNTIF('Ext Cert'!$E$20:$E$83,AW11)&gt;=1,"",ROW())</f>
        <v>11</v>
      </c>
      <c r="AY11" t="str">
        <f t="shared" si="38"/>
        <v>Menu Planning</v>
      </c>
      <c r="BA11" t="s">
        <v>336</v>
      </c>
      <c r="BB11">
        <f>IF(COUNTIF('Ext Cert'!$E$20:$E$83,BA11)&gt;=1,"",ROW())</f>
        <v>11</v>
      </c>
      <c r="BC11" t="str">
        <f t="shared" si="39"/>
        <v>Website Development</v>
      </c>
      <c r="BE11" t="s">
        <v>371</v>
      </c>
      <c r="BF11">
        <f>IF(COUNTIF('Ext Cert'!$E$20:$E$83,BE11)&gt;=1,"",ROW())</f>
        <v>11</v>
      </c>
      <c r="BG11" t="str">
        <f t="shared" si="40"/>
        <v>Developing Music Composition</v>
      </c>
      <c r="BM11" t="s">
        <v>403</v>
      </c>
      <c r="BN11">
        <f>IF(COUNTIF('Ext Cert'!$E$20:$E$83,BM11)&gt;=1,"",ROW())</f>
        <v>11</v>
      </c>
      <c r="BO11" t="str">
        <f t="shared" si="42"/>
        <v>Jazz Dance Techniques</v>
      </c>
      <c r="BQ11" t="s">
        <v>417</v>
      </c>
      <c r="BR11">
        <f>IF(COUNTIF('Ext Cert'!$E$20:$E$83,BQ11)&gt;=1,"",ROW())</f>
        <v>11</v>
      </c>
      <c r="BS11" t="str">
        <f t="shared" si="43"/>
        <v>Planning and Managing a Performing Arts Event</v>
      </c>
      <c r="BU11" t="s">
        <v>410</v>
      </c>
      <c r="BV11">
        <f>IF(COUNTIF('Ext Cert'!$E$20:$E$83,BU11)&gt;=1,"",ROW())</f>
        <v>11</v>
      </c>
      <c r="BW11" t="str">
        <f t="shared" si="44"/>
        <v>Sound for Performance</v>
      </c>
      <c r="BY11" t="s">
        <v>419</v>
      </c>
      <c r="BZ11">
        <f>IF(COUNTIF('Ext Cert'!$E$20:$E$83,BY11)&gt;=1,"",ROW())</f>
        <v>11</v>
      </c>
      <c r="CA11" t="str">
        <f t="shared" si="45"/>
        <v>Physical Theatre Performance</v>
      </c>
      <c r="CC11" t="s">
        <v>413</v>
      </c>
      <c r="CD11">
        <f>IF(COUNTIF('Ext Cert'!$E$20:$E$83,CC11)&gt;=1,"",ROW())</f>
        <v>11</v>
      </c>
      <c r="CE11" t="str">
        <f t="shared" si="46"/>
        <v>Make-up for Performance</v>
      </c>
      <c r="CG11" t="s">
        <v>412</v>
      </c>
      <c r="CH11">
        <f>IF(COUNTIF('Ext Cert'!$E$20:$E$83,CG11)&gt;=1,"",ROW())</f>
        <v>11</v>
      </c>
      <c r="CI11" t="str">
        <f t="shared" si="47"/>
        <v>Supporting Performance: Front of House</v>
      </c>
      <c r="CO11" t="s">
        <v>447</v>
      </c>
      <c r="CP11">
        <f>IF(OR(COUNTIF('Ext Cert'!$E$20:$E$83,CO11)&gt;=1,COUNTIF('Ext Cert'!$E$20:$E$83,CO7)&gt;=1),"",ROW())</f>
        <v>11</v>
      </c>
      <c r="CQ11" t="str">
        <f t="shared" si="49"/>
        <v>Multi-day Expedition Experience</v>
      </c>
      <c r="CS11" t="s">
        <v>473</v>
      </c>
      <c r="CT11">
        <f>IF(COUNTIF('Ext Cert'!$E$20:$E$83,CS11)&gt;=1,"",ROW())</f>
        <v>11</v>
      </c>
      <c r="CU11" t="str">
        <f t="shared" si="50"/>
        <v>Profiling Sports Performance</v>
      </c>
      <c r="CW11" t="s">
        <v>495</v>
      </c>
      <c r="CX11">
        <f>IF(COUNTIF('Ext Cert'!$E$20:$E$83,CW11)&gt;=1,"",ROW())</f>
        <v>11</v>
      </c>
      <c r="CY11" t="str">
        <f t="shared" si="51"/>
        <v>Work-related Experience in Travel and Tourism</v>
      </c>
      <c r="DE11" t="s">
        <v>231</v>
      </c>
      <c r="DF11">
        <f>IF(COUNTIF('Ext Cert'!$E$20:$E$83,DE11)&gt;=1,"",ROW())</f>
        <v>11</v>
      </c>
      <c r="DG11" t="str">
        <f t="shared" si="53"/>
        <v>Lighting for Moving Image</v>
      </c>
    </row>
    <row r="12" spans="1:111" x14ac:dyDescent="0.25">
      <c r="A12" t="s">
        <v>34</v>
      </c>
      <c r="B12">
        <f>IF(COUNTIF('Ext Cert'!$E$20:$E$83,A12)&gt;=1,"",ROW())</f>
        <v>12</v>
      </c>
      <c r="C12" t="str">
        <f t="shared" si="26"/>
        <v>Chemical Analysis and Detection</v>
      </c>
      <c r="E12" t="s">
        <v>122</v>
      </c>
      <c r="F12">
        <f>IF(COUNTIF('Ext Cert'!$E$20:$E$83,E12)&gt;=1,"",ROW())</f>
        <v>12</v>
      </c>
      <c r="G12" t="str">
        <f t="shared" si="27"/>
        <v>Designing for the Future</v>
      </c>
      <c r="M12" t="s">
        <v>141</v>
      </c>
      <c r="N12">
        <f>IF(COUNTIF('Ext Cert'!$E$20:$E$83,M12)&gt;=1,"",ROW())</f>
        <v>12</v>
      </c>
      <c r="O12" t="str">
        <f t="shared" si="29"/>
        <v>Surface Design</v>
      </c>
      <c r="Q12" t="s">
        <v>136</v>
      </c>
      <c r="R12">
        <f>IF(COUNTIF('Ext Cert'!$E$20:$E$83,Q12)&gt;=1,"",ROW())</f>
        <v>12</v>
      </c>
      <c r="S12" t="str">
        <f t="shared" si="30"/>
        <v>Studio Photography</v>
      </c>
      <c r="U12" t="s">
        <v>126</v>
      </c>
      <c r="V12">
        <f>IF(COUNTIF('Ext Cert'!$E$20:$E$83,U12)&gt;=1,"",ROW())</f>
        <v>12</v>
      </c>
      <c r="W12" t="str">
        <f t="shared" si="31"/>
        <v>Interactive Media Production Briefs</v>
      </c>
      <c r="Y12" t="s">
        <v>133</v>
      </c>
      <c r="Z12">
        <f>IF(COUNTIF('Ext Cert'!$E$20:$E$83,Y12)&gt;=1,"",ROW())</f>
        <v>12</v>
      </c>
      <c r="AA12" t="str">
        <f>IF(ROW(Y12)-ROW(Y$2)+1&gt;COUNT(Z$2:Z$50),"",INDEX(Y:Y,SMALL(Z$2:Z$50,1+ROW(Y12)-ROW(Y$2))))</f>
        <v>Printmaking Briefs</v>
      </c>
      <c r="AC12" t="s">
        <v>127</v>
      </c>
      <c r="AD12">
        <f>IF(COUNTIF('Ext Cert'!$E$20:$E$83,AC12)&gt;=1,"",ROW())</f>
        <v>12</v>
      </c>
      <c r="AE12" t="str">
        <f t="shared" si="33"/>
        <v>Painting Briefs</v>
      </c>
      <c r="AG12" t="s">
        <v>167</v>
      </c>
      <c r="AH12">
        <f>IF(COUNTIF('Ext Cert'!$E$20:$E$83,AG12)&gt;=1,"",ROW())</f>
        <v>12</v>
      </c>
      <c r="AI12" t="str">
        <f t="shared" si="34"/>
        <v>Business Online</v>
      </c>
      <c r="AK12" t="s">
        <v>198</v>
      </c>
      <c r="AL12">
        <f>IF(COUNTIF('Ext Cert'!$E$20:$E$83,AK12)&gt;=1,"",ROW())</f>
        <v>12</v>
      </c>
      <c r="AM12" t="str">
        <f t="shared" si="35"/>
        <v>Exploring Plumbing Principles and Techniques</v>
      </c>
      <c r="AO12" t="s">
        <v>244</v>
      </c>
      <c r="AP12">
        <f>IF(COUNTIF('Ext Cert'!$E$20:$E$83,AO12)&gt;=1,"",ROW())</f>
        <v>12</v>
      </c>
      <c r="AQ12" t="str">
        <f t="shared" si="36"/>
        <v>Operating an Efficient Workplace</v>
      </c>
      <c r="AS12" t="s">
        <v>285</v>
      </c>
      <c r="AT12">
        <f>IF(COUNTIF('Ext Cert'!$E$20:$E$83,AS12)&gt;=1,"",ROW())</f>
        <v>12</v>
      </c>
      <c r="AU12" t="str">
        <f t="shared" si="37"/>
        <v>Carrying out a Research Project in Health and Social Care</v>
      </c>
      <c r="AW12" t="s">
        <v>320</v>
      </c>
      <c r="AX12">
        <f>IF(COUNTIF('Ext Cert'!$E$20:$E$83,AW12)&gt;=1,"",ROW())</f>
        <v>12</v>
      </c>
      <c r="AY12" t="str">
        <f t="shared" si="38"/>
        <v>Managing Finance in Hospitality</v>
      </c>
      <c r="BA12" t="s">
        <v>337</v>
      </c>
      <c r="BB12">
        <f>IF(COUNTIF('Ext Cert'!$E$20:$E$83,BA12)&gt;=1,"",ROW())</f>
        <v>12</v>
      </c>
      <c r="BC12" t="str">
        <f t="shared" si="39"/>
        <v>Installing and Maintaining Computer Hardware</v>
      </c>
      <c r="BE12" t="s">
        <v>372</v>
      </c>
      <c r="BF12">
        <f>IF(COUNTIF('Ext Cert'!$E$20:$E$83,BE12)&gt;=1,"",ROW())</f>
        <v>12</v>
      </c>
      <c r="BG12" t="str">
        <f t="shared" si="40"/>
        <v>Producing a Music Recording</v>
      </c>
      <c r="BM12" t="s">
        <v>404</v>
      </c>
      <c r="BN12">
        <f>IF(COUNTIF('Ext Cert'!$E$20:$E$83,BM12)&gt;=1,"",ROW())</f>
        <v>12</v>
      </c>
      <c r="BO12" t="str">
        <f t="shared" si="42"/>
        <v>Design Planning for Performance</v>
      </c>
      <c r="BQ12" t="s">
        <v>419</v>
      </c>
      <c r="BR12">
        <f>IF(COUNTIF('Ext Cert'!$E$20:$E$83,BQ12)&gt;=1,"",ROW())</f>
        <v>12</v>
      </c>
      <c r="BS12" t="str">
        <f t="shared" si="43"/>
        <v>Physical Theatre Performance</v>
      </c>
      <c r="BU12" t="s">
        <v>413</v>
      </c>
      <c r="BV12">
        <f>IF(COUNTIF('Ext Cert'!$E$20:$E$83,BU12)&gt;=1,"",ROW())</f>
        <v>12</v>
      </c>
      <c r="BW12" t="str">
        <f t="shared" si="44"/>
        <v>Make-up for Performance</v>
      </c>
      <c r="BY12" t="s">
        <v>420</v>
      </c>
      <c r="BZ12">
        <f>IF(COUNTIF('Ext Cert'!$E$20:$E$83,BY12)&gt;=1,"",ROW())</f>
        <v>12</v>
      </c>
      <c r="CA12" t="str">
        <f t="shared" si="45"/>
        <v>Variety Performance</v>
      </c>
      <c r="CC12" t="s">
        <v>414</v>
      </c>
      <c r="CD12">
        <f>IF(COUNTIF('Ext Cert'!$E$20:$E$83,CC12)&gt;=1,"",ROW())</f>
        <v>12</v>
      </c>
      <c r="CE12" t="str">
        <f t="shared" si="46"/>
        <v>Wardrobe for Stage Performance</v>
      </c>
      <c r="CG12" t="s">
        <v>413</v>
      </c>
      <c r="CH12">
        <f>IF(COUNTIF('Ext Cert'!$E$20:$E$83,CG12)&gt;=1,"",ROW())</f>
        <v>12</v>
      </c>
      <c r="CI12" t="str">
        <f t="shared" si="47"/>
        <v>Make-up for Performance</v>
      </c>
      <c r="CO12" t="s">
        <v>448</v>
      </c>
      <c r="CP12">
        <f>IF(COUNTIF('Ext Cert'!$E$20:$E$83,CO12)&gt;=1,"",ROW())</f>
        <v>12</v>
      </c>
      <c r="CQ12" t="str">
        <f t="shared" si="49"/>
        <v>Health and Safety in the Public Services</v>
      </c>
      <c r="CS12" t="s">
        <v>459</v>
      </c>
      <c r="CT12">
        <f>IF(COUNTIF('Ext Cert'!$E$20:$E$83,CS12)&gt;=1,"",ROW())</f>
        <v>12</v>
      </c>
      <c r="CU12" t="str">
        <f t="shared" si="50"/>
        <v>Carrying Out a Sports-related Project</v>
      </c>
      <c r="CW12" t="s">
        <v>496</v>
      </c>
      <c r="CX12">
        <f>IF(COUNTIF('Ext Cert'!$E$20:$E$83,CW12)&gt;=1,"",ROW())</f>
        <v>12</v>
      </c>
      <c r="CY12" t="str">
        <f t="shared" si="51"/>
        <v>Holiday Representatives</v>
      </c>
    </row>
    <row r="13" spans="1:111" x14ac:dyDescent="0.25">
      <c r="A13" t="s">
        <v>35</v>
      </c>
      <c r="B13">
        <f>IF(COUNTIF('Ext Cert'!$E$20:$E$83,A13)&gt;=1,"",ROW())</f>
        <v>13</v>
      </c>
      <c r="C13" t="str">
        <f t="shared" si="26"/>
        <v>Exploring our Universe</v>
      </c>
      <c r="E13" t="s">
        <v>111</v>
      </c>
      <c r="F13">
        <f>IF(COUNTIF('Ext Cert'!$E$20:$E$83,E13)&gt;=1,"",ROW())</f>
        <v>13</v>
      </c>
      <c r="G13" t="str">
        <f t="shared" si="27"/>
        <v>Applying Contextual References in Art and Design</v>
      </c>
      <c r="Q13" t="s">
        <v>137</v>
      </c>
      <c r="R13">
        <f>IF(COUNTIF('Ext Cert'!$E$20:$E$83,Q13)&gt;=1,"",ROW())</f>
        <v>13</v>
      </c>
      <c r="S13" t="str">
        <f t="shared" si="30"/>
        <v>Location Photography</v>
      </c>
      <c r="Y13" t="s">
        <v>134</v>
      </c>
      <c r="Z13">
        <f>IF(COUNTIF('Ext Cert'!$E$20:$E$83,Y13)&gt;=1,"",ROW())</f>
        <v>13</v>
      </c>
      <c r="AA13" t="str">
        <f>IF(ROW(Y13)-ROW(Y$2)+1&gt;COUNT(Z$2:Z$50),"",INDEX(Y:Y,SMALL(Z$2:Z$50,1+ROW(Y13)-ROW(Y$2))))</f>
        <v>Drawing from Observation</v>
      </c>
      <c r="AC13" t="s">
        <v>112</v>
      </c>
      <c r="AD13">
        <f>IF(COUNTIF('Ext Cert'!$E$20:$E$83,AC13)&gt;=1,"",ROW())</f>
        <v>13</v>
      </c>
      <c r="AE13" t="str">
        <f t="shared" si="33"/>
        <v>Practical Research Project in Art and Design</v>
      </c>
      <c r="AG13" t="s">
        <v>168</v>
      </c>
      <c r="AH13">
        <f>IF(COUNTIF('Ext Cert'!$E$20:$E$83,AG13)&gt;=1,"",ROW())</f>
        <v>13</v>
      </c>
      <c r="AI13" t="str">
        <f t="shared" si="34"/>
        <v>Public Sector Business</v>
      </c>
      <c r="AK13" t="s">
        <v>199</v>
      </c>
      <c r="AL13">
        <f>IF(COUNTIF('Ext Cert'!$E$20:$E$83,AK13)&gt;=1,"",ROW())</f>
        <v>13</v>
      </c>
      <c r="AM13" t="str">
        <f t="shared" si="35"/>
        <v>Exploring Electrical Principles and Techniques</v>
      </c>
      <c r="AO13" t="s">
        <v>251</v>
      </c>
      <c r="AP13">
        <f>IF(COUNTIF('Ext Cert'!$E$20:$E$83,AO13)&gt;=1,"",ROW())</f>
        <v>13</v>
      </c>
      <c r="AQ13" t="str">
        <f t="shared" si="36"/>
        <v>Vehicle Electrical Sytems</v>
      </c>
      <c r="AS13" t="s">
        <v>288</v>
      </c>
      <c r="AT13">
        <f>IF(COUNTIF('Ext Cert'!$E$20:$E$83,AS13)&gt;=1,"",ROW())</f>
        <v>13</v>
      </c>
      <c r="AU13" t="str">
        <f t="shared" si="37"/>
        <v>Vocational Experience in Health and Social Care</v>
      </c>
      <c r="AW13" t="s">
        <v>321</v>
      </c>
      <c r="AX13">
        <f>IF(COUNTIF('Ext Cert'!$E$20:$E$83,AW13)&gt;=1,"",ROW())</f>
        <v>13</v>
      </c>
      <c r="AY13" t="str">
        <f t="shared" si="38"/>
        <v>Alcohol Awareness in Hospitality</v>
      </c>
      <c r="BA13" t="s">
        <v>338</v>
      </c>
      <c r="BB13">
        <f>IF(COUNTIF('Ext Cert'!$E$20:$E$83,BA13)&gt;=1,"",ROW())</f>
        <v>13</v>
      </c>
      <c r="BC13" t="str">
        <f t="shared" si="39"/>
        <v>Installing and Maintaining Computer Software</v>
      </c>
      <c r="BE13" t="s">
        <v>373</v>
      </c>
      <c r="BF13">
        <f>IF(COUNTIF('Ext Cert'!$E$20:$E$83,BE13)&gt;=1,"",ROW())</f>
        <v>13</v>
      </c>
      <c r="BG13" t="str">
        <f t="shared" si="40"/>
        <v>Music Ensemble</v>
      </c>
      <c r="BM13" t="s">
        <v>405</v>
      </c>
      <c r="BN13">
        <f>IF(COUNTIF('Ext Cert'!$E$20:$E$83,BM13)&gt;=1,"",ROW())</f>
        <v>13</v>
      </c>
      <c r="BO13" t="str">
        <f t="shared" si="42"/>
        <v>Realising Costume Design for Performance</v>
      </c>
      <c r="BQ13" t="s">
        <v>420</v>
      </c>
      <c r="BR13">
        <f>IF(COUNTIF('Ext Cert'!$E$20:$E$83,BQ13)&gt;=1,"",ROW())</f>
        <v>13</v>
      </c>
      <c r="BS13" t="str">
        <f t="shared" si="43"/>
        <v>Variety Performance</v>
      </c>
      <c r="BU13" t="s">
        <v>414</v>
      </c>
      <c r="BV13">
        <f>IF(COUNTIF('Ext Cert'!$E$20:$E$83,BU13)&gt;=1,"",ROW())</f>
        <v>13</v>
      </c>
      <c r="BW13" t="str">
        <f t="shared" si="44"/>
        <v>Wardrobe for Stage Performance</v>
      </c>
      <c r="BY13" t="s">
        <v>389</v>
      </c>
      <c r="BZ13">
        <f>IF(COUNTIF('Ext Cert'!$E$20:$E$83,BY13)&gt;=1,"",ROW())</f>
        <v>13</v>
      </c>
      <c r="CA13" t="str">
        <f t="shared" si="45"/>
        <v>Performing Arts Enterprise</v>
      </c>
      <c r="CC13" t="s">
        <v>421</v>
      </c>
      <c r="CD13">
        <f>IF(COUNTIF('Ext Cert'!$E$20:$E$83,CC13)&gt;=1,"",ROW())</f>
        <v>13</v>
      </c>
      <c r="CE13" t="str">
        <f t="shared" si="46"/>
        <v>Use of ICT in the Performing Arts</v>
      </c>
      <c r="CG13" t="s">
        <v>414</v>
      </c>
      <c r="CH13">
        <f>IF(COUNTIF('Ext Cert'!$E$20:$E$83,CG13)&gt;=1,"",ROW())</f>
        <v>13</v>
      </c>
      <c r="CI13" t="str">
        <f t="shared" si="47"/>
        <v>Wardrobe for Stage Performance</v>
      </c>
      <c r="CO13" t="s">
        <v>436</v>
      </c>
      <c r="CP13">
        <f>IF(COUNTIF('Ext Cert'!$E$20:$E$83,CO13)&gt;=1,"",ROW())</f>
        <v>13</v>
      </c>
      <c r="CQ13" t="str">
        <f t="shared" si="49"/>
        <v>Employability Skills in the Public Services</v>
      </c>
      <c r="CS13" t="s">
        <v>460</v>
      </c>
      <c r="CT13">
        <f>IF(COUNTIF('Ext Cert'!$E$20:$E$83,CS13)&gt;=1,"",ROW())</f>
        <v>13</v>
      </c>
      <c r="CU13" t="str">
        <f t="shared" si="50"/>
        <v>Designing Exercise Programmes</v>
      </c>
      <c r="CW13" t="s">
        <v>497</v>
      </c>
      <c r="CX13">
        <f>IF(COUNTIF('Ext Cert'!$E$20:$E$83,CW13)&gt;=1,"",ROW())</f>
        <v>13</v>
      </c>
      <c r="CY13" t="str">
        <f t="shared" si="51"/>
        <v>UK Travel Agency Operations</v>
      </c>
    </row>
    <row r="14" spans="1:111" x14ac:dyDescent="0.25">
      <c r="A14" t="s">
        <v>36</v>
      </c>
      <c r="B14">
        <f>IF(COUNTIF('Ext Cert'!$E$20:$E$83,A14)&gt;=1,"",ROW())</f>
        <v>14</v>
      </c>
      <c r="C14" t="str">
        <f t="shared" si="26"/>
        <v>Electronics in Action</v>
      </c>
      <c r="E14" t="s">
        <v>123</v>
      </c>
      <c r="F14">
        <f>IF(COUNTIF('Ext Cert'!$E$20:$E$83,E14)&gt;=1,"",ROW())</f>
        <v>14</v>
      </c>
      <c r="G14" t="str">
        <f t="shared" si="27"/>
        <v>Art, Craft and Design in the Creative Industries</v>
      </c>
      <c r="Q14" t="s">
        <v>139</v>
      </c>
      <c r="R14">
        <f>IF(COUNTIF('Ext Cert'!$E$20:$E$83,Q14)&gt;=1,"",ROW())</f>
        <v>14</v>
      </c>
      <c r="S14" t="str">
        <f t="shared" si="30"/>
        <v>Editing Photographic Images</v>
      </c>
      <c r="Y14" t="s">
        <v>141</v>
      </c>
      <c r="Z14">
        <f>IF(COUNTIF('Ext Cert'!$E$20:$E$83,Y14)&gt;=1,"",ROW())</f>
        <v>14</v>
      </c>
      <c r="AA14" t="str">
        <f>IF(ROW(Y14)-ROW(Y$2)+1&gt;COUNT(Z$2:Z$50),"",INDEX(Y:Y,SMALL(Z$2:Z$50,1+ROW(Y14)-ROW(Y$2))))</f>
        <v>Surface Design</v>
      </c>
      <c r="AC14" t="s">
        <v>131</v>
      </c>
      <c r="AD14">
        <f>IF(COUNTIF('Ext Cert'!$E$20:$E$83,AC14)&gt;=1,"",ROW())</f>
        <v>14</v>
      </c>
      <c r="AE14" t="str">
        <f t="shared" si="33"/>
        <v>Moving Image Briefs</v>
      </c>
      <c r="AG14" t="s">
        <v>169</v>
      </c>
      <c r="AH14">
        <f>IF(COUNTIF('Ext Cert'!$E$20:$E$83,AG14)&gt;=1,"",ROW())</f>
        <v>14</v>
      </c>
      <c r="AI14" t="str">
        <f t="shared" si="34"/>
        <v>Enhancing the Customer Experience</v>
      </c>
      <c r="AK14" t="s">
        <v>200</v>
      </c>
      <c r="AL14">
        <f>IF(COUNTIF('Ext Cert'!$E$20:$E$83,AK14)&gt;=1,"",ROW())</f>
        <v>14</v>
      </c>
      <c r="AM14" t="str">
        <f t="shared" si="35"/>
        <v>Sustainability in Construction</v>
      </c>
      <c r="AO14" t="s">
        <v>252</v>
      </c>
      <c r="AP14">
        <f>IF(COUNTIF('Ext Cert'!$E$20:$E$83,AO14)&gt;=1,"",ROW())</f>
        <v>14</v>
      </c>
      <c r="AQ14" t="str">
        <f t="shared" si="36"/>
        <v>Welding</v>
      </c>
      <c r="AS14" t="s">
        <v>290</v>
      </c>
      <c r="AT14">
        <f>IF(COUNTIF('Ext Cert'!$E$20:$E$83,AS14)&gt;=1,"",ROW())</f>
        <v>14</v>
      </c>
      <c r="AU14" t="str">
        <f t="shared" si="37"/>
        <v>Child Development and Observation</v>
      </c>
      <c r="AW14" t="s">
        <v>309</v>
      </c>
      <c r="AX14">
        <f>IF(COUNTIF('Ext Cert'!$E$20:$E$83,AW14)&gt;=1,"",ROW())</f>
        <v>14</v>
      </c>
      <c r="AY14" t="str">
        <f t="shared" si="38"/>
        <v>Delivering the Hospitality Customer Experience</v>
      </c>
      <c r="BA14" t="s">
        <v>339</v>
      </c>
      <c r="BB14">
        <f>IF(COUNTIF('Ext Cert'!$E$20:$E$83,BA14)&gt;=1,"",ROW())</f>
        <v>14</v>
      </c>
      <c r="BC14" t="str">
        <f t="shared" si="39"/>
        <v>Automated Computer Systems</v>
      </c>
      <c r="BE14" t="s">
        <v>374</v>
      </c>
      <c r="BF14">
        <f>IF(COUNTIF('Ext Cert'!$E$20:$E$83,BE14)&gt;=1,"",ROW())</f>
        <v>14</v>
      </c>
      <c r="BG14" t="str">
        <f t="shared" si="40"/>
        <v>Developing Modern Music Production Skills</v>
      </c>
      <c r="BM14" t="s">
        <v>406</v>
      </c>
      <c r="BN14">
        <f>IF(COUNTIF('Ext Cert'!$E$20:$E$83,BM14)&gt;=1,"",ROW())</f>
        <v>14</v>
      </c>
      <c r="BO14" t="str">
        <f t="shared" si="42"/>
        <v>Realising Set Design for Performance</v>
      </c>
      <c r="BQ14" t="s">
        <v>389</v>
      </c>
      <c r="BR14">
        <f>IF(COUNTIF('Ext Cert'!$E$20:$E$83,BQ14)&gt;=1,"",ROW())</f>
        <v>14</v>
      </c>
      <c r="BS14" t="str">
        <f t="shared" si="43"/>
        <v>Performing Arts Enterprise</v>
      </c>
      <c r="BU14" t="s">
        <v>421</v>
      </c>
      <c r="BV14">
        <f>IF(COUNTIF('Ext Cert'!$E$20:$E$83,BU14)&gt;=1,"",ROW())</f>
        <v>14</v>
      </c>
      <c r="BW14" t="str">
        <f t="shared" si="44"/>
        <v>Use of ICT in the Performing Arts</v>
      </c>
      <c r="BY14" t="s">
        <v>423</v>
      </c>
      <c r="BZ14">
        <f>IF(COUNTIF('Ext Cert'!$E$20:$E$83,BY14)&gt;=1,"",ROW())</f>
        <v>14</v>
      </c>
      <c r="CA14" t="str">
        <f t="shared" si="45"/>
        <v>Singing Skills in the Performing Arts</v>
      </c>
      <c r="CC14" t="s">
        <v>422</v>
      </c>
      <c r="CD14">
        <f>IF(COUNTIF('Ext Cert'!$E$20:$E$83,CC14)&gt;=1,"",ROW())</f>
        <v>14</v>
      </c>
      <c r="CE14" t="str">
        <f t="shared" si="46"/>
        <v>Work Experience in the Performing Arts</v>
      </c>
      <c r="CO14" t="s">
        <v>449</v>
      </c>
      <c r="CP14">
        <f>IF(COUNTIF('Ext Cert'!$E$20:$E$83,CO14)&gt;=1,"",ROW())</f>
        <v>14</v>
      </c>
      <c r="CQ14" t="str">
        <f t="shared" si="49"/>
        <v>Preparing to Respond to Emergency Incidents</v>
      </c>
      <c r="CS14" t="s">
        <v>452</v>
      </c>
      <c r="CT14">
        <f>IF(COUNTIF('Ext Cert'!$E$20:$E$83,CS14)&gt;=1,"",ROW())</f>
        <v>14</v>
      </c>
      <c r="CU14" t="str">
        <f t="shared" si="50"/>
        <v>Expedition Experience</v>
      </c>
      <c r="CW14" t="s">
        <v>498</v>
      </c>
      <c r="CX14">
        <f>IF(COUNTIF('Ext Cert'!$E$20:$E$83,CW14)&gt;=1,"",ROW())</f>
        <v>14</v>
      </c>
      <c r="CY14" t="str">
        <f t="shared" si="51"/>
        <v>The Cruise Industry</v>
      </c>
    </row>
    <row r="15" spans="1:111" x14ac:dyDescent="0.25">
      <c r="A15" t="s">
        <v>37</v>
      </c>
      <c r="B15">
        <f>IF(COUNTIF('Ext Cert'!$E$20:$E$83,A15)&gt;=1,"",ROW())</f>
        <v>15</v>
      </c>
      <c r="C15" t="str">
        <f t="shared" si="26"/>
        <v>Biotechnology Procedures and Applications</v>
      </c>
      <c r="E15" t="s">
        <v>124</v>
      </c>
      <c r="F15">
        <f>IF(OR(COUNTIF('Ext Cert'!$E$20:$E$83,E15)&gt;=1,COUNTIF('Ext Cert'!$E$20:$E$83,E3)&gt;=1),"",ROW())</f>
        <v>15</v>
      </c>
      <c r="G15" t="str">
        <f t="shared" si="27"/>
        <v>3D Design Briefs</v>
      </c>
      <c r="Y15" t="s">
        <v>145</v>
      </c>
      <c r="Z15">
        <f>IF(COUNTIF('Ext Cert'!$E$20:$E$83,Y15)&gt;=1,"",ROW())</f>
        <v>15</v>
      </c>
      <c r="AA15" t="str">
        <f>IF(ROW(Y15)-ROW(Y$2)+1&gt;COUNT(Z$2:Z$50),"",INDEX(Y:Y,SMALL(Z$2:Z$50,1+ROW(Y15)-ROW(Y$2))))</f>
        <v>Sculpture</v>
      </c>
      <c r="AC15" t="s">
        <v>133</v>
      </c>
      <c r="AD15">
        <f>IF(COUNTIF('Ext Cert'!$E$20:$E$83,AC15)&gt;=1,"",ROW())</f>
        <v>15</v>
      </c>
      <c r="AE15" t="str">
        <f t="shared" si="33"/>
        <v>Printmaking Briefs</v>
      </c>
      <c r="AG15" t="s">
        <v>170</v>
      </c>
      <c r="AH15">
        <f>IF(COUNTIF('Ext Cert'!$E$20:$E$83,AG15)&gt;=1,"",ROW())</f>
        <v>15</v>
      </c>
      <c r="AI15" t="str">
        <f t="shared" si="34"/>
        <v>Visual Merchandising in Retail Business</v>
      </c>
      <c r="AK15" t="s">
        <v>201</v>
      </c>
      <c r="AL15">
        <f>IF(COUNTIF('Ext Cert'!$E$20:$E$83,AK15)&gt;=1,"",ROW())</f>
        <v>15</v>
      </c>
      <c r="AM15" t="str">
        <f t="shared" si="35"/>
        <v>Exploring Roofing Principles and Techniques</v>
      </c>
      <c r="AO15" t="s">
        <v>245</v>
      </c>
      <c r="AP15">
        <f>IF(COUNTIF('Ext Cert'!$E$20:$E$83,AO15)&gt;=1,"",ROW())</f>
        <v>15</v>
      </c>
      <c r="AQ15" t="str">
        <f t="shared" si="36"/>
        <v>Computer Numerical Control Programming</v>
      </c>
      <c r="AS15" t="s">
        <v>298</v>
      </c>
      <c r="AT15">
        <f>IF(COUNTIF('Ext Cert'!$E$20:$E$83,AS15)&gt;=1,"",ROW())</f>
        <v>15</v>
      </c>
      <c r="AU15" t="str">
        <f t="shared" si="37"/>
        <v>An Introduction to Basic First Aid</v>
      </c>
      <c r="AW15" t="s">
        <v>323</v>
      </c>
      <c r="AX15">
        <f>IF(COUNTIF('Ext Cert'!$E$20:$E$83,AW15)&gt;=1,"",ROW())</f>
        <v>15</v>
      </c>
      <c r="AY15" t="str">
        <f t="shared" si="38"/>
        <v>Work Experience in Hospitality</v>
      </c>
      <c r="BA15" t="s">
        <v>330</v>
      </c>
      <c r="BB15">
        <f>IF(COUNTIF('Ext Cert'!$E$20:$E$83,BA15)&gt;=1,"",ROW())</f>
        <v>15</v>
      </c>
      <c r="BC15" t="str">
        <f t="shared" si="39"/>
        <v>Multimedia Products Development</v>
      </c>
      <c r="BE15" t="s">
        <v>375</v>
      </c>
      <c r="BF15">
        <f>IF(COUNTIF('Ext Cert'!$E$20:$E$83,BE15)&gt;=1,"",ROW())</f>
        <v>15</v>
      </c>
      <c r="BG15" t="str">
        <f t="shared" si="40"/>
        <v>Developing Music Theory</v>
      </c>
      <c r="BM15" t="s">
        <v>407</v>
      </c>
      <c r="BN15">
        <f>IF(COUNTIF('Ext Cert'!$E$20:$E$83,BM15)&gt;=1,"",ROW())</f>
        <v>15</v>
      </c>
      <c r="BO15" t="str">
        <f t="shared" si="42"/>
        <v>Realising Prop Design for Performance</v>
      </c>
      <c r="BQ15" t="s">
        <v>421</v>
      </c>
      <c r="BR15">
        <f>IF(COUNTIF('Ext Cert'!$E$20:$E$83,BQ15)&gt;=1,"",ROW())</f>
        <v>15</v>
      </c>
      <c r="BS15" t="str">
        <f t="shared" si="43"/>
        <v>Use of ICT in the Performing Arts</v>
      </c>
      <c r="BU15" t="s">
        <v>422</v>
      </c>
      <c r="BV15">
        <f>IF(COUNTIF('Ext Cert'!$E$20:$E$83,BU15)&gt;=1,"",ROW())</f>
        <v>15</v>
      </c>
      <c r="BW15" t="str">
        <f t="shared" si="44"/>
        <v>Work Experience in the Performing Arts</v>
      </c>
      <c r="CO15" t="s">
        <v>450</v>
      </c>
      <c r="CP15">
        <f>IF(COUNTIF('Ext Cert'!$E$20:$E$83,CO15)&gt;=1,"",ROW())</f>
        <v>15</v>
      </c>
      <c r="CQ15" t="str">
        <f t="shared" si="49"/>
        <v>Security Procedures in the Public Services</v>
      </c>
      <c r="CS15" t="s">
        <v>462</v>
      </c>
      <c r="CT15">
        <f>IF(COUNTIF('Ext Cert'!$E$20:$E$83,CS15)&gt;=1,"",ROW())</f>
        <v>15</v>
      </c>
      <c r="CU15" t="str">
        <f t="shared" si="50"/>
        <v>Practical Land-based Outdoor and Adventurous Activities</v>
      </c>
      <c r="CW15" t="s">
        <v>499</v>
      </c>
      <c r="CX15">
        <f>IF(COUNTIF('Ext Cert'!$E$20:$E$83,CW15)&gt;=1,"",ROW())</f>
        <v>15</v>
      </c>
      <c r="CY15" t="str">
        <f t="shared" si="51"/>
        <v>Hospitality Operations in the Travel and Tourism Sector</v>
      </c>
    </row>
    <row r="16" spans="1:111" x14ac:dyDescent="0.25">
      <c r="A16" t="s">
        <v>38</v>
      </c>
      <c r="B16">
        <f>IF(COUNTIF('Ext Cert'!$E$20:$E$83,A16)&gt;=1,"",ROW())</f>
        <v>16</v>
      </c>
      <c r="C16" t="str">
        <f t="shared" si="26"/>
        <v>Further Chemistry</v>
      </c>
      <c r="E16" t="s">
        <v>125</v>
      </c>
      <c r="F16">
        <f>IF(COUNTIF('Ext Cert'!$E$20:$E$83,E16)&gt;=1,"",ROW())</f>
        <v>16</v>
      </c>
      <c r="G16" t="str">
        <f t="shared" si="27"/>
        <v>Digital Art and Design Briefs</v>
      </c>
      <c r="AC16" t="s">
        <v>134</v>
      </c>
      <c r="AD16">
        <f>IF(COUNTIF('Ext Cert'!$E$20:$E$83,AC16)&gt;=1,"",ROW())</f>
        <v>16</v>
      </c>
      <c r="AE16" t="str">
        <f t="shared" si="33"/>
        <v>Drawing from Observation</v>
      </c>
      <c r="AG16" t="s">
        <v>156</v>
      </c>
      <c r="AH16">
        <f>IF(COUNTIF('Ext Cert'!$E$20:$E$83,AG16)&gt;=1,"",ROW())</f>
        <v>16</v>
      </c>
      <c r="AI16" t="str">
        <f t="shared" si="34"/>
        <v>Small Business Planning</v>
      </c>
      <c r="AK16" t="s">
        <v>202</v>
      </c>
      <c r="AL16">
        <f>IF(COUNTIF('Ext Cert'!$E$20:$E$83,AK16)&gt;=1,"",ROW())</f>
        <v>16</v>
      </c>
      <c r="AM16" t="str">
        <f t="shared" si="35"/>
        <v>Exploring Wall and Floor Tiling Principles and Techniques</v>
      </c>
      <c r="AO16" t="s">
        <v>253</v>
      </c>
      <c r="AP16">
        <f>IF(COUNTIF('Ext Cert'!$E$20:$E$83,AO16)&gt;=1,"",ROW())</f>
        <v>16</v>
      </c>
      <c r="AQ16" t="str">
        <f t="shared" si="36"/>
        <v>Bicycle Servicing and Maintenance</v>
      </c>
      <c r="AS16" t="s">
        <v>299</v>
      </c>
      <c r="AT16">
        <f>IF(COUNTIF('Ext Cert'!$E$20:$E$83,AS16)&gt;=1,"",ROW())</f>
        <v>16</v>
      </c>
      <c r="AU16" t="str">
        <f t="shared" si="37"/>
        <v>Food Safety in Health and Social Care</v>
      </c>
      <c r="AW16" t="s">
        <v>326</v>
      </c>
      <c r="AX16">
        <f>IF(COUNTIF('Ext Cert'!$E$20:$E$83,AW16)&gt;=1,"",ROW())</f>
        <v>16</v>
      </c>
      <c r="AY16" t="str">
        <f t="shared" si="38"/>
        <v>Barista Skills in Hospitality</v>
      </c>
      <c r="BA16" t="s">
        <v>331</v>
      </c>
      <c r="BB16">
        <f>IF(COUNTIF('Ext Cert'!$E$20:$E$83,BA16)&gt;=1,"",ROW())</f>
        <v>16</v>
      </c>
      <c r="BC16" t="str">
        <f t="shared" si="39"/>
        <v>Computational Thinking</v>
      </c>
      <c r="BE16" t="s">
        <v>376</v>
      </c>
      <c r="BF16">
        <f>IF(COUNTIF('Ext Cert'!$E$20:$E$83,BE16)&gt;=1,"",ROW())</f>
        <v>16</v>
      </c>
      <c r="BG16" t="str">
        <f t="shared" si="40"/>
        <v>Music Fusion</v>
      </c>
      <c r="BM16" t="s">
        <v>408</v>
      </c>
      <c r="BN16">
        <f>IF(COUNTIF('Ext Cert'!$E$20:$E$83,BM16)&gt;=1,"",ROW())</f>
        <v>16</v>
      </c>
      <c r="BO16" t="str">
        <f t="shared" si="42"/>
        <v>Realising Mask Design for Performance</v>
      </c>
      <c r="BQ16" t="s">
        <v>422</v>
      </c>
      <c r="BR16">
        <f>IF(COUNTIF('Ext Cert'!$E$20:$E$83,BQ16)&gt;=1,"",ROW())</f>
        <v>16</v>
      </c>
      <c r="BS16" t="str">
        <f t="shared" si="43"/>
        <v>Work Experience in the Performing Arts</v>
      </c>
      <c r="CO16" t="s">
        <v>437</v>
      </c>
      <c r="CP16">
        <f>IF(COUNTIF('Ext Cert'!$E$20:$E$83,CO16)&gt;=1,"",ROW())</f>
        <v>16</v>
      </c>
      <c r="CQ16" t="str">
        <f t="shared" si="49"/>
        <v>Carrying out a Project in Public Services</v>
      </c>
      <c r="CS16" t="s">
        <v>463</v>
      </c>
      <c r="CT16">
        <f>IF(COUNTIF('Ext Cert'!$E$20:$E$83,CS16)&gt;=1,"",ROW())</f>
        <v>16</v>
      </c>
      <c r="CU16" t="str">
        <f t="shared" si="50"/>
        <v>Practical Water-based Outdoor and Adventurous Activities</v>
      </c>
      <c r="CW16" t="s">
        <v>500</v>
      </c>
      <c r="CX16">
        <f>IF(COUNTIF('Ext Cert'!$E$20:$E$83,CW16)&gt;=1,"",ROW())</f>
        <v>16</v>
      </c>
      <c r="CY16" t="str">
        <f t="shared" si="51"/>
        <v>UK Visitor Attractions</v>
      </c>
    </row>
    <row r="17" spans="1:99" x14ac:dyDescent="0.25">
      <c r="A17" t="s">
        <v>39</v>
      </c>
      <c r="B17">
        <f>IF(COUNTIF('Ext Cert'!$E$20:$E$83,A17)&gt;=1,"",ROW())</f>
        <v>17</v>
      </c>
      <c r="C17" t="str">
        <f t="shared" si="26"/>
        <v>Further Physics</v>
      </c>
      <c r="E17" t="s">
        <v>126</v>
      </c>
      <c r="F17">
        <f>IF(COUNTIF('Ext Cert'!$E$20:$E$83,E17)&gt;=1,"",ROW())</f>
        <v>17</v>
      </c>
      <c r="G17" t="str">
        <f t="shared" si="27"/>
        <v>Interactive Media Production Briefs</v>
      </c>
      <c r="AC17" t="s">
        <v>135</v>
      </c>
      <c r="AD17">
        <f>IF(COUNTIF('Ext Cert'!$E$20:$E$83,AC17)&gt;=1,"",ROW())</f>
        <v>17</v>
      </c>
      <c r="AE17" t="str">
        <f t="shared" si="33"/>
        <v>Ceramics</v>
      </c>
      <c r="AG17" t="s">
        <v>157</v>
      </c>
      <c r="AH17">
        <f>IF(COUNTIF('Ext Cert'!$E$20:$E$83,AG17)&gt;=1,"",ROW())</f>
        <v>17</v>
      </c>
      <c r="AI17" t="str">
        <f t="shared" si="34"/>
        <v>Introducing Project Management</v>
      </c>
      <c r="AK17" t="s">
        <v>203</v>
      </c>
      <c r="AL17">
        <f>IF(COUNTIF('Ext Cert'!$E$20:$E$83,AK17)&gt;=1,"",ROW())</f>
        <v>17</v>
      </c>
      <c r="AM17" t="str">
        <f t="shared" si="35"/>
        <v>Exploring Plastering and Dry Lining Principles and Techniques</v>
      </c>
      <c r="AO17" t="s">
        <v>254</v>
      </c>
      <c r="AP17">
        <f>IF(COUNTIF('Ext Cert'!$E$20:$E$83,AO17)&gt;=1,"",ROW())</f>
        <v>17</v>
      </c>
      <c r="AQ17" t="str">
        <f t="shared" si="36"/>
        <v>Sustainable Vehicle Power and Structure Design</v>
      </c>
      <c r="AS17" t="s">
        <v>300</v>
      </c>
      <c r="AT17">
        <f>IF(COUNTIF('Ext Cert'!$E$20:$E$83,AS17)&gt;=1,"",ROW())</f>
        <v>17</v>
      </c>
      <c r="AU17" t="str">
        <f t="shared" si="37"/>
        <v>Infection Control in Health and Social Care</v>
      </c>
      <c r="BA17" t="s">
        <v>332</v>
      </c>
      <c r="BB17">
        <f>IF(COUNTIF('Ext Cert'!$E$20:$E$83,BA17)&gt;=1,"",ROW())</f>
        <v>17</v>
      </c>
      <c r="BC17" t="str">
        <f t="shared" si="39"/>
        <v>Computing in the Workplace</v>
      </c>
      <c r="BE17" t="s">
        <v>377</v>
      </c>
      <c r="BF17">
        <f>IF(COUNTIF('Ext Cert'!$E$20:$E$83,BE17)&gt;=1,"",ROW())</f>
        <v>17</v>
      </c>
      <c r="BG17" t="str">
        <f t="shared" si="40"/>
        <v>Music Arrangement</v>
      </c>
      <c r="BM17" t="s">
        <v>409</v>
      </c>
      <c r="BN17">
        <f>IF(COUNTIF('Ext Cert'!$E$20:$E$83,BM17)&gt;=1,"",ROW())</f>
        <v>17</v>
      </c>
      <c r="BO17" t="str">
        <f t="shared" si="42"/>
        <v>Lighting for Performance</v>
      </c>
      <c r="BQ17" t="s">
        <v>423</v>
      </c>
      <c r="BR17">
        <f>IF(COUNTIF('Ext Cert'!$E$20:$E$83,BQ17)&gt;=1,"",ROW())</f>
        <v>17</v>
      </c>
      <c r="BS17" t="str">
        <f t="shared" si="43"/>
        <v>Singing Skills in the Performing Arts</v>
      </c>
      <c r="CO17" t="s">
        <v>451</v>
      </c>
      <c r="CP17">
        <f>IF(COUNTIF('Ext Cert'!$E$20:$E$83,CO17)&gt;=1,"",ROW())</f>
        <v>17</v>
      </c>
      <c r="CQ17" t="str">
        <f t="shared" si="49"/>
        <v>Law and its Impact on the Individual</v>
      </c>
      <c r="CS17" t="s">
        <v>464</v>
      </c>
      <c r="CT17">
        <f>IF(COUNTIF('Ext Cert'!$E$20:$E$83,CS17)&gt;=1,"",ROW())</f>
        <v>17</v>
      </c>
      <c r="CU17" t="str">
        <f t="shared" si="50"/>
        <v>Land-based Outdoor and Adventurous Activity Leadership</v>
      </c>
    </row>
    <row r="18" spans="1:99" x14ac:dyDescent="0.25">
      <c r="E18" t="s">
        <v>127</v>
      </c>
      <c r="F18">
        <f>IF(OR(COUNTIF('Ext Cert'!$E$20:$E$83,E18)&gt;=1,COUNTIF('Ext Cert'!$E$20:$E$83,E2)&gt;=1),"",ROW())</f>
        <v>18</v>
      </c>
      <c r="G18" t="str">
        <f t="shared" si="27"/>
        <v>Painting Briefs</v>
      </c>
      <c r="AC18" t="s">
        <v>142</v>
      </c>
      <c r="AD18">
        <f>IF(COUNTIF('Ext Cert'!$E$20:$E$83,AC18)&gt;=1,"",ROW())</f>
        <v>18</v>
      </c>
      <c r="AE18" t="str">
        <f t="shared" si="33"/>
        <v>Sustainability in Art and Design Practice</v>
      </c>
      <c r="AG18" t="s">
        <v>171</v>
      </c>
      <c r="AH18">
        <f>IF(COUNTIF('Ext Cert'!$E$20:$E$83,AG18)&gt;=1,"",ROW())</f>
        <v>18</v>
      </c>
      <c r="AI18" t="str">
        <f t="shared" si="34"/>
        <v>Delivering and Improving Customer Service</v>
      </c>
      <c r="AK18" t="s">
        <v>204</v>
      </c>
      <c r="AL18">
        <f>IF(COUNTIF('Ext Cert'!$E$20:$E$83,AK18)&gt;=1,"",ROW())</f>
        <v>18</v>
      </c>
      <c r="AM18" t="str">
        <f t="shared" si="35"/>
        <v>Carpentry and Joinery Operations</v>
      </c>
      <c r="BA18" t="s">
        <v>350</v>
      </c>
      <c r="BB18">
        <f>IF(COUNTIF('Ext Cert'!$E$20:$E$83,BA18)&gt;=1,"",ROW())</f>
        <v>18</v>
      </c>
      <c r="BC18" t="str">
        <f t="shared" si="39"/>
        <v>Building a Personal Computer</v>
      </c>
      <c r="BE18" t="s">
        <v>378</v>
      </c>
      <c r="BF18">
        <f>IF(COUNTIF('Ext Cert'!$E$20:$E$83,BE18)&gt;=1,"",ROW())</f>
        <v>18</v>
      </c>
      <c r="BG18" t="str">
        <f t="shared" si="40"/>
        <v>Exploring Music Improvisation</v>
      </c>
      <c r="BM18" t="s">
        <v>410</v>
      </c>
      <c r="BN18">
        <f>IF(COUNTIF('Ext Cert'!$E$20:$E$83,BM18)&gt;=1,"",ROW())</f>
        <v>18</v>
      </c>
      <c r="BO18" t="str">
        <f t="shared" si="42"/>
        <v>Sound for Performance</v>
      </c>
      <c r="CS18" t="s">
        <v>465</v>
      </c>
      <c r="CT18">
        <f>IF(COUNTIF('Ext Cert'!$E$20:$E$83,CS18)&gt;=1,"",ROW())</f>
        <v>18</v>
      </c>
      <c r="CU18" t="str">
        <f t="shared" si="50"/>
        <v>Water-based Outdoor and Adventurous Activity Leadership</v>
      </c>
    </row>
    <row r="19" spans="1:99" x14ac:dyDescent="0.25">
      <c r="E19" t="s">
        <v>128</v>
      </c>
      <c r="F19">
        <f>IF(OR(COUNTIF('Ext Cert'!$E$20:$E$83,E19)&gt;=1,COUNTIF('Ext Cert'!$E$20:$E$83,E3)&gt;=1),"",ROW())</f>
        <v>19</v>
      </c>
      <c r="G19" t="str">
        <f t="shared" si="27"/>
        <v>Designing Products</v>
      </c>
      <c r="AC19" t="s">
        <v>144</v>
      </c>
      <c r="AD19">
        <f>IF(COUNTIF('Ext Cert'!$E$20:$E$83,AC19)&gt;=1,"",ROW())</f>
        <v>19</v>
      </c>
      <c r="AE19" t="str">
        <f t="shared" si="33"/>
        <v>Modelmaking</v>
      </c>
      <c r="AG19" t="s">
        <v>172</v>
      </c>
      <c r="AH19">
        <f>IF(COUNTIF('Ext Cert'!$E$20:$E$83,AG19)&gt;=1,"",ROW())</f>
        <v>19</v>
      </c>
      <c r="AI19" t="str">
        <f t="shared" si="34"/>
        <v>Effective Business Communication</v>
      </c>
      <c r="AK19" t="s">
        <v>205</v>
      </c>
      <c r="AL19">
        <f>IF(COUNTIF('Ext Cert'!$E$20:$E$83,AK19)&gt;=1,"",ROW())</f>
        <v>19</v>
      </c>
      <c r="AM19" t="str">
        <f t="shared" si="35"/>
        <v>Brickwork and Blockwork Operations</v>
      </c>
      <c r="BA19" t="s">
        <v>340</v>
      </c>
      <c r="BB19">
        <f>IF(COUNTIF('Ext Cert'!$E$20:$E$83,BA19)&gt;=1,"",ROW())</f>
        <v>19</v>
      </c>
      <c r="BC19" t="str">
        <f t="shared" si="39"/>
        <v>A Technology Business</v>
      </c>
      <c r="BE19" t="s">
        <v>379</v>
      </c>
      <c r="BF19">
        <f>IF(COUNTIF('Ext Cert'!$E$20:$E$83,BE19)&gt;=1,"",ROW())</f>
        <v>19</v>
      </c>
      <c r="BG19" t="str">
        <f t="shared" si="40"/>
        <v>Exploring DJing</v>
      </c>
      <c r="BM19" t="s">
        <v>411</v>
      </c>
      <c r="BN19">
        <f>IF(COUNTIF('Ext Cert'!$E$20:$E$83,BM19)&gt;=1,"",ROW())</f>
        <v>19</v>
      </c>
      <c r="BO19" t="str">
        <f t="shared" si="42"/>
        <v>Supporting Performance: Stage Management</v>
      </c>
      <c r="CS19" t="s">
        <v>466</v>
      </c>
      <c r="CT19">
        <f>IF(COUNTIF('Ext Cert'!$E$20:$E$83,CS19)&gt;=1,"",ROW())</f>
        <v>19</v>
      </c>
      <c r="CU19" t="str">
        <f t="shared" si="50"/>
        <v>Work Experience in Sport</v>
      </c>
    </row>
    <row r="20" spans="1:99" x14ac:dyDescent="0.25">
      <c r="E20" t="s">
        <v>112</v>
      </c>
      <c r="F20">
        <f>IF(COUNTIF('Ext Cert'!$E$20:$E$83,E20)&gt;=1,"",ROW())</f>
        <v>20</v>
      </c>
      <c r="G20" t="str">
        <f t="shared" si="27"/>
        <v>Practical Research Project in Art and Design</v>
      </c>
      <c r="AC20" t="s">
        <v>145</v>
      </c>
      <c r="AD20">
        <f>IF(OR(COUNTIF('Ext Cert'!$E$20:$E$83,AC20)&gt;=1,COUNTIF('Ext Cert'!$E$20:$E$83,AC2)&gt;=1),"",ROW())</f>
        <v>20</v>
      </c>
      <c r="AE20" t="str">
        <f t="shared" si="33"/>
        <v>Sculpture</v>
      </c>
      <c r="AG20" t="s">
        <v>173</v>
      </c>
      <c r="AH20">
        <f>IF(COUNTIF('Ext Cert'!$E$20:$E$83,AG20)&gt;=1,"",ROW())</f>
        <v>20</v>
      </c>
      <c r="AI20" t="str">
        <f t="shared" si="34"/>
        <v>Working in Business Teams</v>
      </c>
      <c r="AK20" t="s">
        <v>206</v>
      </c>
      <c r="AL20">
        <f>IF(COUNTIF('Ext Cert'!$E$20:$E$83,AK20)&gt;=1,"",ROW())</f>
        <v>20</v>
      </c>
      <c r="AM20" t="str">
        <f t="shared" si="35"/>
        <v>Painting and Paperhanging Operations</v>
      </c>
      <c r="BA20" t="s">
        <v>341</v>
      </c>
      <c r="BB20">
        <f>IF(COUNTIF('Ext Cert'!$E$20:$E$83,BA20)&gt;=1,"",ROW())</f>
        <v>20</v>
      </c>
      <c r="BC20" t="str">
        <f t="shared" si="39"/>
        <v>Computer Security in Practice</v>
      </c>
      <c r="BE20" t="s">
        <v>380</v>
      </c>
      <c r="BF20">
        <f>IF(COUNTIF('Ext Cert'!$E$20:$E$83,BE20)&gt;=1,"",ROW())</f>
        <v>20</v>
      </c>
      <c r="BG20" t="str">
        <f t="shared" si="40"/>
        <v>Music Promotion</v>
      </c>
      <c r="BM20" t="s">
        <v>412</v>
      </c>
      <c r="BN20">
        <f>IF(COUNTIF('Ext Cert'!$E$20:$E$83,BM20)&gt;=1,"",ROW())</f>
        <v>20</v>
      </c>
      <c r="BO20" t="str">
        <f t="shared" si="42"/>
        <v>Supporting Performance: Front of House</v>
      </c>
    </row>
    <row r="21" spans="1:99" x14ac:dyDescent="0.25">
      <c r="E21" t="s">
        <v>129</v>
      </c>
      <c r="F21">
        <f>IF(COUNTIF('Ext Cert'!$E$20:$E$83,E21)&gt;=1,"",ROW())</f>
        <v>21</v>
      </c>
      <c r="G21" t="str">
        <f t="shared" si="27"/>
        <v>Design Thinking</v>
      </c>
      <c r="AG21" t="s">
        <v>174</v>
      </c>
      <c r="AH21">
        <f>IF(COUNTIF('Ext Cert'!$E$20:$E$83,AG21)&gt;=1,"",ROW())</f>
        <v>21</v>
      </c>
      <c r="AI21" t="str">
        <f t="shared" si="34"/>
        <v>Planning, Forecasting and Recording Business Finances</v>
      </c>
      <c r="AK21" t="s">
        <v>207</v>
      </c>
      <c r="AL21">
        <f>IF(COUNTIF('Ext Cert'!$E$20:$E$83,AK21)&gt;=1,"",ROW())</f>
        <v>21</v>
      </c>
      <c r="AM21" t="str">
        <f t="shared" si="35"/>
        <v>Plumbing Operations</v>
      </c>
      <c r="BA21" t="s">
        <v>342</v>
      </c>
      <c r="BB21">
        <f>IF(COUNTIF('Ext Cert'!$E$20:$E$83,BA21)&gt;=1,"",ROW())</f>
        <v>21</v>
      </c>
      <c r="BC21" t="str">
        <f t="shared" si="39"/>
        <v>Computer Systems Support in Practice</v>
      </c>
      <c r="BE21" t="s">
        <v>381</v>
      </c>
      <c r="BF21">
        <f>IF(COUNTIF('Ext Cert'!$E$20:$E$83,BE21)&gt;=1,"",ROW())</f>
        <v>21</v>
      </c>
      <c r="BG21" t="str">
        <f t="shared" si="40"/>
        <v>Digital and Mobile Technology for Music</v>
      </c>
      <c r="BM21" t="s">
        <v>413</v>
      </c>
      <c r="BN21">
        <f>IF(COUNTIF('Ext Cert'!$E$20:$E$83,BM21)&gt;=1,"",ROW())</f>
        <v>21</v>
      </c>
      <c r="BO21" t="str">
        <f t="shared" si="42"/>
        <v>Make-up for Performance</v>
      </c>
    </row>
    <row r="22" spans="1:99" x14ac:dyDescent="0.25">
      <c r="E22" t="s">
        <v>130</v>
      </c>
      <c r="F22">
        <f>IF(COUNTIF('Ext Cert'!$E$20:$E$83,E22)&gt;=1,"",ROW())</f>
        <v>22</v>
      </c>
      <c r="G22" t="str">
        <f t="shared" si="27"/>
        <v>Fashion Promotion</v>
      </c>
      <c r="AG22" t="s">
        <v>175</v>
      </c>
      <c r="AH22">
        <f>IF(OR(COUNTIF('Ext Cert'!$E$20:$E$83,AG22)&gt;=1,COUNTIF('Ext Cert'!$E$20:$E$83,AG7)&gt;=1),"",ROW())</f>
        <v>22</v>
      </c>
      <c r="AI22" t="str">
        <f t="shared" si="34"/>
        <v>Work Experience in Business</v>
      </c>
      <c r="AK22" t="s">
        <v>208</v>
      </c>
      <c r="AL22">
        <f>IF(COUNTIF('Ext Cert'!$E$20:$E$83,AK22)&gt;=1,"",ROW())</f>
        <v>22</v>
      </c>
      <c r="AM22" t="str">
        <f t="shared" si="35"/>
        <v>Electrical Operations</v>
      </c>
      <c r="BA22" t="s">
        <v>343</v>
      </c>
      <c r="BB22">
        <f>IF(COUNTIF('Ext Cert'!$E$20:$E$83,BA22)&gt;=1,"",ROW())</f>
        <v>22</v>
      </c>
      <c r="BC22" t="str">
        <f t="shared" si="39"/>
        <v>Software Systems Development</v>
      </c>
      <c r="BE22" t="s">
        <v>382</v>
      </c>
      <c r="BF22">
        <f>IF(COUNTIF('Ext Cert'!$E$20:$E$83,BE22)&gt;=1,"",ROW())</f>
        <v>22</v>
      </c>
      <c r="BG22" t="str">
        <f t="shared" si="40"/>
        <v>Composing for Visual Media</v>
      </c>
      <c r="BM22" t="s">
        <v>414</v>
      </c>
      <c r="BN22">
        <f>IF(COUNTIF('Ext Cert'!$E$20:$E$83,BM22)&gt;=1,"",ROW())</f>
        <v>22</v>
      </c>
      <c r="BO22" t="str">
        <f t="shared" si="42"/>
        <v>Wardrobe for Stage Performance</v>
      </c>
    </row>
    <row r="23" spans="1:99" x14ac:dyDescent="0.25">
      <c r="E23" t="s">
        <v>131</v>
      </c>
      <c r="F23">
        <f>IF(COUNTIF('Ext Cert'!$E$20:$E$83,E23)&gt;=1,"",ROW())</f>
        <v>23</v>
      </c>
      <c r="G23" t="str">
        <f t="shared" si="27"/>
        <v>Moving Image Briefs</v>
      </c>
      <c r="AG23" t="s">
        <v>176</v>
      </c>
      <c r="AH23">
        <f>IF(COUNTIF('Ext Cert'!$E$20:$E$83,AG23)&gt;=1,"",ROW())</f>
        <v>23</v>
      </c>
      <c r="AI23" t="str">
        <f t="shared" si="34"/>
        <v>Introducing International Business</v>
      </c>
      <c r="BA23" t="s">
        <v>351</v>
      </c>
      <c r="BB23">
        <f>IF(COUNTIF('Ext Cert'!$E$20:$E$83,BA23)&gt;=1,"",ROW())</f>
        <v>23</v>
      </c>
      <c r="BC23" t="str">
        <f t="shared" ref="BC23" si="54">IF(ROW(BA23)-ROW(BA$2)+1&gt;COUNT(BB$2:BB$50),"",INDEX(BA:BA,SMALL(BB$2:BB$50,1+ROW(BA23)-ROW(BA$2))))</f>
        <v>IT Work Experience</v>
      </c>
      <c r="BE23" t="s">
        <v>383</v>
      </c>
      <c r="BF23">
        <f>IF(COUNTIF('Ext Cert'!$E$20:$E$83,BE23)&gt;=1,"",ROW())</f>
        <v>23</v>
      </c>
      <c r="BG23" t="str">
        <f t="shared" si="40"/>
        <v>Enterprise and Music</v>
      </c>
      <c r="BM23" t="s">
        <v>415</v>
      </c>
      <c r="BN23">
        <f>IF(COUNTIF('Ext Cert'!$E$20:$E$83,BM23)&gt;=1,"",ROW())</f>
        <v>23</v>
      </c>
      <c r="BO23" t="str">
        <f t="shared" si="42"/>
        <v>Choreographing Dance</v>
      </c>
    </row>
    <row r="24" spans="1:99" x14ac:dyDescent="0.25">
      <c r="E24" t="s">
        <v>132</v>
      </c>
      <c r="F24">
        <f>IF(COUNTIF('Ext Cert'!$E$20:$E$83,E24)&gt;=1,"",ROW())</f>
        <v>24</v>
      </c>
      <c r="G24" t="str">
        <f t="shared" si="27"/>
        <v>Interaction Design</v>
      </c>
      <c r="AG24" t="s">
        <v>177</v>
      </c>
      <c r="AH24">
        <f>IF(COUNTIF('Ext Cert'!$E$20:$E$83,AG24)&gt;=1,"",ROW())</f>
        <v>24</v>
      </c>
      <c r="AI24" t="str">
        <f t="shared" si="34"/>
        <v>Introducing the Economic Environment</v>
      </c>
      <c r="BE24" t="s">
        <v>361</v>
      </c>
      <c r="BF24">
        <f>IF(COUNTIF('Ext Cert'!$E$20:$E$83,BE24)&gt;=1,"",ROW())</f>
        <v>24</v>
      </c>
      <c r="BG24" t="str">
        <f t="shared" si="40"/>
        <v>Professional Skills in Music</v>
      </c>
      <c r="BM24" t="s">
        <v>388</v>
      </c>
      <c r="BN24">
        <f>IF(COUNTIF('Ext Cert'!$E$20:$E$83,BM24)&gt;=1,"",ROW())</f>
        <v>24</v>
      </c>
      <c r="BO24" t="str">
        <f t="shared" si="42"/>
        <v>Community Arts</v>
      </c>
    </row>
    <row r="25" spans="1:99" x14ac:dyDescent="0.25">
      <c r="E25" t="s">
        <v>133</v>
      </c>
      <c r="F25">
        <f>IF(COUNTIF('Ext Cert'!$E$20:$E$83,E25)&gt;=1,"",ROW())</f>
        <v>25</v>
      </c>
      <c r="G25" t="str">
        <f t="shared" si="27"/>
        <v>Printmaking Briefs</v>
      </c>
      <c r="AG25" t="s">
        <v>178</v>
      </c>
      <c r="AH25">
        <f>IF(COUNTIF('Ext Cert'!$E$20:$E$83,AG25)&gt;=1,"",ROW())</f>
        <v>25</v>
      </c>
      <c r="AI25" t="str">
        <f t="shared" si="34"/>
        <v>Efficient Business Operations</v>
      </c>
      <c r="BM25" t="s">
        <v>416</v>
      </c>
      <c r="BN25">
        <f>IF(COUNTIF('Ext Cert'!$E$20:$E$83,BM25)&gt;=1,"",ROW())</f>
        <v>25</v>
      </c>
      <c r="BO25" t="str">
        <f t="shared" si="42"/>
        <v>Directing Performance</v>
      </c>
    </row>
    <row r="26" spans="1:99" x14ac:dyDescent="0.25">
      <c r="E26" t="s">
        <v>134</v>
      </c>
      <c r="F26">
        <f>IF(COUNTIF('Ext Cert'!$E$20:$E$83,E26)&gt;=1,"",ROW())</f>
        <v>26</v>
      </c>
      <c r="G26" t="str">
        <f t="shared" si="27"/>
        <v>Drawing from Observation</v>
      </c>
      <c r="AG26" t="s">
        <v>179</v>
      </c>
      <c r="AH26">
        <f>IF(COUNTIF('Ext Cert'!$E$20:$E$83,AG26)&gt;=1,"",ROW())</f>
        <v>26</v>
      </c>
      <c r="AI26" t="str">
        <f t="shared" si="34"/>
        <v>Principles of Procurement and Supply</v>
      </c>
      <c r="BM26" t="s">
        <v>417</v>
      </c>
      <c r="BN26">
        <f>IF(COUNTIF('Ext Cert'!$E$20:$E$83,BM26)&gt;=1,"",ROW())</f>
        <v>26</v>
      </c>
      <c r="BO26" t="str">
        <f t="shared" si="42"/>
        <v>Planning and Managing a Performing Arts Event</v>
      </c>
    </row>
    <row r="27" spans="1:99" x14ac:dyDescent="0.25">
      <c r="E27" t="s">
        <v>135</v>
      </c>
      <c r="F27">
        <f>IF(COUNTIF('Ext Cert'!$E$20:$E$83,E27)&gt;=1,"",ROW())</f>
        <v>27</v>
      </c>
      <c r="G27" t="str">
        <f t="shared" si="27"/>
        <v>Ceramics</v>
      </c>
      <c r="AG27" t="s">
        <v>180</v>
      </c>
      <c r="AH27">
        <f>IF(COUNTIF('Ext Cert'!$E$20:$E$83,AG27)&gt;=1,"",ROW())</f>
        <v>27</v>
      </c>
      <c r="AI27" t="str">
        <f t="shared" si="34"/>
        <v>Implementing Procurement and Supply in Business</v>
      </c>
      <c r="BM27" t="s">
        <v>418</v>
      </c>
      <c r="BN27">
        <f>IF(COUNTIF('Ext Cert'!$E$20:$E$83,BM27)&gt;=1,"",ROW())</f>
        <v>27</v>
      </c>
      <c r="BO27" t="str">
        <f t="shared" si="42"/>
        <v>Multimedia Production</v>
      </c>
    </row>
    <row r="28" spans="1:99" x14ac:dyDescent="0.25">
      <c r="E28" t="s">
        <v>136</v>
      </c>
      <c r="F28">
        <f>IF(COUNTIF('Ext Cert'!$E$20:$E$83,E28)&gt;=1,"",ROW())</f>
        <v>28</v>
      </c>
      <c r="G28" t="str">
        <f t="shared" si="27"/>
        <v>Studio Photography</v>
      </c>
      <c r="AG28" t="s">
        <v>181</v>
      </c>
      <c r="AH28">
        <f>IF(COUNTIF('Ext Cert'!$E$20:$E$83,AG28)&gt;=1,"",ROW())</f>
        <v>28</v>
      </c>
      <c r="AI28" t="str">
        <f t="shared" si="34"/>
        <v>Corporate Social Responsibility</v>
      </c>
      <c r="BM28" t="s">
        <v>419</v>
      </c>
      <c r="BN28">
        <f>IF(COUNTIF('Ext Cert'!$E$20:$E$83,BM28)&gt;=1,"",ROW())</f>
        <v>28</v>
      </c>
      <c r="BO28" t="str">
        <f t="shared" si="42"/>
        <v>Physical Theatre Performance</v>
      </c>
    </row>
    <row r="29" spans="1:99" x14ac:dyDescent="0.25">
      <c r="E29" t="s">
        <v>137</v>
      </c>
      <c r="F29">
        <f>IF(COUNTIF('Ext Cert'!$E$20:$E$83,E29)&gt;=1,"",ROW())</f>
        <v>29</v>
      </c>
      <c r="G29" t="str">
        <f t="shared" si="27"/>
        <v>Location Photography</v>
      </c>
      <c r="AG29" t="s">
        <v>182</v>
      </c>
      <c r="AH29">
        <f>IF(COUNTIF('Ext Cert'!$E$20:$E$83,AG29)&gt;=1,"",ROW())</f>
        <v>29</v>
      </c>
      <c r="AI29" t="str">
        <f t="shared" si="34"/>
        <v>Managing Personal Finances</v>
      </c>
      <c r="BM29" t="s">
        <v>420</v>
      </c>
      <c r="BN29">
        <f>IF(COUNTIF('Ext Cert'!$E$20:$E$83,BM29)&gt;=1,"",ROW())</f>
        <v>29</v>
      </c>
      <c r="BO29" t="str">
        <f t="shared" si="42"/>
        <v>Variety Performance</v>
      </c>
    </row>
    <row r="30" spans="1:99" x14ac:dyDescent="0.25">
      <c r="E30" t="s">
        <v>138</v>
      </c>
      <c r="F30">
        <f>IF(COUNTIF('Ext Cert'!$E$20:$E$83,E30)&gt;=1,"",ROW())</f>
        <v>30</v>
      </c>
      <c r="G30" t="str">
        <f t="shared" si="27"/>
        <v>Designing for Print and Screen</v>
      </c>
      <c r="AG30" t="s">
        <v>183</v>
      </c>
      <c r="AH30">
        <f>IF(COUNTIF('Ext Cert'!$E$20:$E$83,AG30)&gt;=1,"",ROW())</f>
        <v>30</v>
      </c>
      <c r="AI30" t="str">
        <f t="shared" si="34"/>
        <v>Sustainability in the Business Workplace</v>
      </c>
      <c r="BM30" t="s">
        <v>389</v>
      </c>
      <c r="BN30">
        <f>IF(COUNTIF('Ext Cert'!$E$20:$E$83,BM30)&gt;=1,"",ROW())</f>
        <v>30</v>
      </c>
      <c r="BO30" t="str">
        <f t="shared" si="42"/>
        <v>Performing Arts Enterprise</v>
      </c>
    </row>
    <row r="31" spans="1:99" x14ac:dyDescent="0.25">
      <c r="E31" t="s">
        <v>139</v>
      </c>
      <c r="F31">
        <f>IF(COUNTIF('Ext Cert'!$E$20:$E$83,E31)&gt;=1,"",ROW())</f>
        <v>31</v>
      </c>
      <c r="G31" t="str">
        <f t="shared" si="27"/>
        <v>Editing Photographic Images</v>
      </c>
      <c r="BM31" t="s">
        <v>421</v>
      </c>
      <c r="BN31">
        <f>IF(COUNTIF('Ext Cert'!$E$20:$E$83,BM31)&gt;=1,"",ROW())</f>
        <v>31</v>
      </c>
      <c r="BO31" t="str">
        <f t="shared" si="42"/>
        <v>Use of ICT in the Performing Arts</v>
      </c>
    </row>
    <row r="32" spans="1:99" x14ac:dyDescent="0.25">
      <c r="E32" t="s">
        <v>140</v>
      </c>
      <c r="F32">
        <f>IF(COUNTIF('Ext Cert'!$E$20:$E$83,E32)&gt;=1,"",ROW())</f>
        <v>32</v>
      </c>
      <c r="G32" t="str">
        <f t="shared" si="27"/>
        <v>Fashion Retail</v>
      </c>
      <c r="BM32" t="s">
        <v>422</v>
      </c>
      <c r="BN32">
        <f>IF(COUNTIF('Ext Cert'!$E$20:$E$83,BM32)&gt;=1,"",ROW())</f>
        <v>32</v>
      </c>
      <c r="BO32" t="str">
        <f t="shared" si="42"/>
        <v>Work Experience in the Performing Arts</v>
      </c>
    </row>
    <row r="33" spans="5:67" x14ac:dyDescent="0.25">
      <c r="E33" t="s">
        <v>141</v>
      </c>
      <c r="F33">
        <f>IF(COUNTIF('Ext Cert'!$E$20:$E$83,E33)&gt;=1,"",ROW())</f>
        <v>33</v>
      </c>
      <c r="G33" t="str">
        <f t="shared" si="27"/>
        <v>Surface Design</v>
      </c>
      <c r="BM33" t="s">
        <v>423</v>
      </c>
      <c r="BN33">
        <f>IF(COUNTIF('Ext Cert'!$E$20:$E$83,BM33)&gt;=1,"",ROW())</f>
        <v>33</v>
      </c>
      <c r="BO33" t="str">
        <f t="shared" si="42"/>
        <v>Singing Skills in the Performing Arts</v>
      </c>
    </row>
    <row r="34" spans="5:67" x14ac:dyDescent="0.25">
      <c r="E34" t="s">
        <v>142</v>
      </c>
      <c r="F34">
        <f>IF(COUNTIF('Ext Cert'!$E$20:$E$83,E34)&gt;=1,"",ROW())</f>
        <v>34</v>
      </c>
      <c r="G34" t="str">
        <f t="shared" si="27"/>
        <v>Sustainability in Art and Design Practice</v>
      </c>
    </row>
    <row r="35" spans="5:67" x14ac:dyDescent="0.25">
      <c r="E35" t="s">
        <v>143</v>
      </c>
      <c r="F35">
        <f>IF(COUNTIF('Ext Cert'!$E$20:$E$83,E35)&gt;=1,"",ROW())</f>
        <v>35</v>
      </c>
      <c r="G35" t="str">
        <f t="shared" si="27"/>
        <v>Advertising Briefs</v>
      </c>
    </row>
    <row r="36" spans="5:67" x14ac:dyDescent="0.25">
      <c r="E36" t="s">
        <v>144</v>
      </c>
      <c r="F36">
        <f>IF(COUNTIF('Ext Cert'!$E$20:$E$83,E36)&gt;=1,"",ROW())</f>
        <v>36</v>
      </c>
      <c r="G36" t="str">
        <f t="shared" si="27"/>
        <v>Modelmaking</v>
      </c>
    </row>
    <row r="37" spans="5:67" x14ac:dyDescent="0.25">
      <c r="E37" t="s">
        <v>145</v>
      </c>
      <c r="F37">
        <f>IF(OR(COUNTIF('Ext Cert'!$E$20:$E$83,E37)&gt;=1,COUNTIF('Ext Cert'!$E$20:$E$83,E3)&gt;=1),"",ROW())</f>
        <v>37</v>
      </c>
      <c r="G37" t="str">
        <f t="shared" si="27"/>
        <v>Sculpture</v>
      </c>
    </row>
    <row r="39" spans="5:67" x14ac:dyDescent="0.25">
      <c r="AK39" t="s">
        <v>502</v>
      </c>
      <c r="AL39" t="s">
        <v>503</v>
      </c>
      <c r="AM39" t="s">
        <v>504</v>
      </c>
      <c r="AW39" t="s">
        <v>502</v>
      </c>
      <c r="AY39" t="s">
        <v>513</v>
      </c>
      <c r="AZ39" t="s">
        <v>504</v>
      </c>
    </row>
    <row r="40" spans="5:67" x14ac:dyDescent="0.25">
      <c r="AK40">
        <f>COUNTIF('Ext Cert'!$E$20:$E$25, "Exploring Carpentry and Joinery Principles and Techniques")</f>
        <v>0</v>
      </c>
      <c r="AL40">
        <f>COUNTIF('Ext Cert'!$E$20:$E$25, "Carpentry and Joinery Operations")</f>
        <v>0</v>
      </c>
      <c r="AM40" s="9">
        <f>IF(AND(AK40=0,AL40=1),1,0)</f>
        <v>0</v>
      </c>
      <c r="AW40">
        <f>COUNTIF('Ext Cert'!$E$20:$E$27, "Planning, Preparing, Cooking and Finishing Food")</f>
        <v>0</v>
      </c>
      <c r="AY40">
        <f>COUNTIF('Ext Cert'!$E$20:$E$27, "Contemporary World Food Cooking Skills")</f>
        <v>0</v>
      </c>
      <c r="AZ40" s="9">
        <f>IF(AND(AW40=0,AY40=1),1,0)</f>
        <v>0</v>
      </c>
    </row>
    <row r="41" spans="5:67" x14ac:dyDescent="0.25">
      <c r="AK41" t="s">
        <v>505</v>
      </c>
      <c r="AL41" t="s">
        <v>506</v>
      </c>
      <c r="AW41" t="s">
        <v>514</v>
      </c>
      <c r="AY41" t="s">
        <v>503</v>
      </c>
      <c r="AZ41" t="s">
        <v>504</v>
      </c>
    </row>
    <row r="42" spans="5:67" x14ac:dyDescent="0.25">
      <c r="AK42">
        <f>COUNTIF('Ext Cert'!$E$20:$E$25, "Exploring Brickwork and Blockwork Principles and Techniques")</f>
        <v>0</v>
      </c>
      <c r="AL42">
        <f>COUNTIF('Ext Cert'!$E$20:$E$25, "Brickwork and Blockwork Operations")</f>
        <v>0</v>
      </c>
      <c r="AM42" s="9">
        <f>IF(AND(AK42=0,AL42=1),1,0)</f>
        <v>0</v>
      </c>
      <c r="AW42">
        <f>COUNTIF('Ext Cert'!$E$20:$E$27, "Costing and Controlling Finances in the Hospitality Industry")</f>
        <v>0</v>
      </c>
      <c r="AY42">
        <f>COUNTIF('Ext Cert'!$E$20:$E$27, "Managing Finance in Hospitality")</f>
        <v>0</v>
      </c>
      <c r="AZ42" s="9">
        <f>IF(AND(AW42=0,AY42=1),1,0)</f>
        <v>0</v>
      </c>
    </row>
    <row r="43" spans="5:67" x14ac:dyDescent="0.25">
      <c r="AK43" t="s">
        <v>507</v>
      </c>
      <c r="AL43" t="s">
        <v>508</v>
      </c>
    </row>
    <row r="44" spans="5:67" x14ac:dyDescent="0.25">
      <c r="AK44">
        <f>COUNTIF('Ext Cert'!$E$20:$E$25, "Exploring Painting and Decorating Principles and Techniques")</f>
        <v>0</v>
      </c>
      <c r="AL44">
        <f>COUNTIF('Ext Cert'!$E$20:$E$25, "Painting and Paperhanging Operations")</f>
        <v>0</v>
      </c>
      <c r="AM44" s="9">
        <f>IF(AND(AK44=0,AL44=1),1,0)</f>
        <v>0</v>
      </c>
    </row>
    <row r="45" spans="5:67" x14ac:dyDescent="0.25">
      <c r="AK45" t="s">
        <v>509</v>
      </c>
      <c r="AL45" t="s">
        <v>510</v>
      </c>
    </row>
    <row r="46" spans="5:67" x14ac:dyDescent="0.25">
      <c r="AK46">
        <f>COUNTIF('Ext Cert'!$E$20:$E$25, "Exploring Plumbing Principles and Techniques")</f>
        <v>0</v>
      </c>
      <c r="AL46">
        <f>COUNTIF('Ext Cert'!$E$20:$E$25, "Plumbing Operations")</f>
        <v>0</v>
      </c>
      <c r="AM46" s="9">
        <f>IF(AND(AK46=0,AL46=1),1,0)</f>
        <v>0</v>
      </c>
    </row>
    <row r="47" spans="5:67" x14ac:dyDescent="0.25">
      <c r="AK47" t="s">
        <v>511</v>
      </c>
      <c r="AL47" t="s">
        <v>512</v>
      </c>
    </row>
    <row r="48" spans="5:67" x14ac:dyDescent="0.25">
      <c r="AK48">
        <f>COUNTIF('Ext Cert'!$E$20:$E$25, "Exploring Electrical Principles and Techniques")</f>
        <v>0</v>
      </c>
      <c r="AL48">
        <f>COUNTIF('Ext Cert'!$E$20:$E$25, "Electrical Operations")</f>
        <v>0</v>
      </c>
      <c r="AM48" s="9">
        <f>IF(AND(AK48=0,AL48=1),1,0)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2"/>
  <sheetViews>
    <sheetView workbookViewId="0">
      <selection activeCell="B12" sqref="B12"/>
    </sheetView>
  </sheetViews>
  <sheetFormatPr defaultRowHeight="15" x14ac:dyDescent="0.25"/>
  <cols>
    <col min="1" max="1" width="55.28515625" bestFit="1" customWidth="1"/>
    <col min="2" max="3" width="36.7109375" bestFit="1" customWidth="1"/>
    <col min="4" max="4" width="67.140625" bestFit="1" customWidth="1"/>
  </cols>
  <sheetData>
    <row r="1" spans="1:4" x14ac:dyDescent="0.25">
      <c r="A1" t="s">
        <v>40</v>
      </c>
      <c r="B1" t="s">
        <v>41</v>
      </c>
      <c r="C1" t="s">
        <v>42</v>
      </c>
      <c r="D1" t="s">
        <v>43</v>
      </c>
    </row>
    <row r="2" spans="1:4" x14ac:dyDescent="0.25">
      <c r="A2" t="s">
        <v>44</v>
      </c>
      <c r="B2" s="3" t="s">
        <v>46</v>
      </c>
      <c r="C2" s="3" t="s">
        <v>12</v>
      </c>
      <c r="D2" s="3" t="s">
        <v>12</v>
      </c>
    </row>
    <row r="3" spans="1:4" x14ac:dyDescent="0.25">
      <c r="A3" t="s">
        <v>45</v>
      </c>
      <c r="B3" s="3" t="s">
        <v>47</v>
      </c>
      <c r="C3" s="3" t="s">
        <v>46</v>
      </c>
      <c r="D3" s="3" t="s">
        <v>46</v>
      </c>
    </row>
    <row r="4" spans="1:4" x14ac:dyDescent="0.25">
      <c r="A4" t="s">
        <v>46</v>
      </c>
      <c r="B4" s="3" t="s">
        <v>48</v>
      </c>
      <c r="C4" s="3" t="s">
        <v>47</v>
      </c>
      <c r="D4" s="3" t="s">
        <v>47</v>
      </c>
    </row>
    <row r="5" spans="1:4" x14ac:dyDescent="0.25">
      <c r="A5" t="s">
        <v>54</v>
      </c>
      <c r="B5" s="3" t="s">
        <v>49</v>
      </c>
      <c r="C5" s="3" t="s">
        <v>48</v>
      </c>
      <c r="D5" s="3" t="s">
        <v>48</v>
      </c>
    </row>
    <row r="6" spans="1:4" x14ac:dyDescent="0.25">
      <c r="A6" t="s">
        <v>55</v>
      </c>
      <c r="B6" s="3" t="s">
        <v>50</v>
      </c>
      <c r="C6" s="3" t="s">
        <v>49</v>
      </c>
      <c r="D6" s="3" t="s">
        <v>49</v>
      </c>
    </row>
    <row r="7" spans="1:4" x14ac:dyDescent="0.25">
      <c r="A7" t="s">
        <v>56</v>
      </c>
      <c r="B7" s="3" t="s">
        <v>51</v>
      </c>
      <c r="C7" s="3" t="s">
        <v>50</v>
      </c>
      <c r="D7" s="3" t="s">
        <v>50</v>
      </c>
    </row>
    <row r="8" spans="1:4" x14ac:dyDescent="0.25">
      <c r="A8" t="s">
        <v>57</v>
      </c>
      <c r="B8" s="3" t="s">
        <v>52</v>
      </c>
      <c r="C8" s="3" t="s">
        <v>51</v>
      </c>
      <c r="D8" s="3" t="s">
        <v>51</v>
      </c>
    </row>
    <row r="9" spans="1:4" x14ac:dyDescent="0.25">
      <c r="A9" t="s">
        <v>568</v>
      </c>
      <c r="B9" s="3" t="s">
        <v>53</v>
      </c>
      <c r="C9" s="3" t="s">
        <v>52</v>
      </c>
      <c r="D9" s="3" t="s">
        <v>52</v>
      </c>
    </row>
    <row r="10" spans="1:4" x14ac:dyDescent="0.25">
      <c r="A10" t="s">
        <v>59</v>
      </c>
      <c r="B10" s="3" t="s">
        <v>58</v>
      </c>
      <c r="C10" s="3" t="s">
        <v>53</v>
      </c>
      <c r="D10" s="3" t="s">
        <v>53</v>
      </c>
    </row>
    <row r="11" spans="1:4" x14ac:dyDescent="0.25">
      <c r="A11" t="s">
        <v>60</v>
      </c>
      <c r="B11" s="3" t="s">
        <v>568</v>
      </c>
      <c r="C11" s="3" t="s">
        <v>58</v>
      </c>
      <c r="D11" s="3" t="s">
        <v>58</v>
      </c>
    </row>
    <row r="12" spans="1:4" x14ac:dyDescent="0.25">
      <c r="A12" t="s">
        <v>61</v>
      </c>
      <c r="B12" s="3" t="s">
        <v>59</v>
      </c>
      <c r="C12" s="3" t="s">
        <v>59</v>
      </c>
      <c r="D12" s="3" t="s">
        <v>59</v>
      </c>
    </row>
    <row r="13" spans="1:4" x14ac:dyDescent="0.25">
      <c r="A13" t="s">
        <v>62</v>
      </c>
      <c r="B13" s="3" t="s">
        <v>60</v>
      </c>
      <c r="C13" s="3" t="s">
        <v>60</v>
      </c>
      <c r="D13" s="3" t="s">
        <v>60</v>
      </c>
    </row>
    <row r="14" spans="1:4" x14ac:dyDescent="0.25">
      <c r="A14" t="s">
        <v>547</v>
      </c>
      <c r="B14" s="3" t="s">
        <v>64</v>
      </c>
      <c r="C14" s="3" t="s">
        <v>64</v>
      </c>
      <c r="D14" s="3" t="s">
        <v>65</v>
      </c>
    </row>
    <row r="15" spans="1:4" x14ac:dyDescent="0.25">
      <c r="A15" t="s">
        <v>63</v>
      </c>
      <c r="B15" s="3" t="s">
        <v>69</v>
      </c>
      <c r="C15" s="3" t="s">
        <v>69</v>
      </c>
      <c r="D15" s="3" t="s">
        <v>66</v>
      </c>
    </row>
    <row r="16" spans="1:4" x14ac:dyDescent="0.25">
      <c r="A16" t="s">
        <v>64</v>
      </c>
      <c r="B16" s="3" t="s">
        <v>70</v>
      </c>
      <c r="C16" s="3" t="s">
        <v>70</v>
      </c>
      <c r="D16" s="3" t="s">
        <v>67</v>
      </c>
    </row>
    <row r="17" spans="1:4" x14ac:dyDescent="0.25">
      <c r="A17" t="s">
        <v>69</v>
      </c>
      <c r="B17" s="3" t="s">
        <v>73</v>
      </c>
      <c r="C17" s="3" t="s">
        <v>73</v>
      </c>
      <c r="D17" s="3" t="s">
        <v>68</v>
      </c>
    </row>
    <row r="18" spans="1:4" x14ac:dyDescent="0.25">
      <c r="A18" t="s">
        <v>70</v>
      </c>
      <c r="B18" s="3" t="s">
        <v>75</v>
      </c>
      <c r="C18" s="3" t="s">
        <v>74</v>
      </c>
      <c r="D18" s="3" t="s">
        <v>64</v>
      </c>
    </row>
    <row r="19" spans="1:4" x14ac:dyDescent="0.25">
      <c r="A19" t="s">
        <v>73</v>
      </c>
      <c r="B19" s="3" t="s">
        <v>76</v>
      </c>
      <c r="C19" s="3" t="s">
        <v>75</v>
      </c>
      <c r="D19" s="3" t="s">
        <v>69</v>
      </c>
    </row>
    <row r="20" spans="1:4" x14ac:dyDescent="0.25">
      <c r="A20" t="s">
        <v>74</v>
      </c>
      <c r="B20" s="3" t="s">
        <v>77</v>
      </c>
      <c r="C20" s="3" t="s">
        <v>76</v>
      </c>
      <c r="D20" s="3" t="s">
        <v>70</v>
      </c>
    </row>
    <row r="21" spans="1:4" x14ac:dyDescent="0.25">
      <c r="A21" t="s">
        <v>79</v>
      </c>
      <c r="B21" s="3" t="s">
        <v>78</v>
      </c>
      <c r="C21" s="3" t="s">
        <v>78</v>
      </c>
      <c r="D21" s="3" t="s">
        <v>71</v>
      </c>
    </row>
    <row r="22" spans="1:4" x14ac:dyDescent="0.25">
      <c r="A22" t="s">
        <v>80</v>
      </c>
      <c r="B22" s="3" t="s">
        <v>79</v>
      </c>
      <c r="C22" s="3" t="s">
        <v>79</v>
      </c>
      <c r="D22" s="3" t="s">
        <v>72</v>
      </c>
    </row>
    <row r="23" spans="1:4" x14ac:dyDescent="0.25">
      <c r="A23" t="s">
        <v>81</v>
      </c>
      <c r="B23" s="3" t="s">
        <v>82</v>
      </c>
      <c r="C23" s="3" t="s">
        <v>82</v>
      </c>
      <c r="D23" s="3" t="s">
        <v>73</v>
      </c>
    </row>
    <row r="24" spans="1:4" x14ac:dyDescent="0.25">
      <c r="A24" t="s">
        <v>85</v>
      </c>
      <c r="B24" s="3" t="s">
        <v>87</v>
      </c>
      <c r="C24" s="3" t="s">
        <v>87</v>
      </c>
      <c r="D24" s="3" t="s">
        <v>74</v>
      </c>
    </row>
    <row r="25" spans="1:4" x14ac:dyDescent="0.25">
      <c r="A25" t="s">
        <v>86</v>
      </c>
      <c r="D25" s="3" t="s">
        <v>75</v>
      </c>
    </row>
    <row r="26" spans="1:4" x14ac:dyDescent="0.25">
      <c r="D26" s="3" t="s">
        <v>76</v>
      </c>
    </row>
    <row r="27" spans="1:4" x14ac:dyDescent="0.25">
      <c r="D27" s="3" t="s">
        <v>78</v>
      </c>
    </row>
    <row r="28" spans="1:4" x14ac:dyDescent="0.25">
      <c r="D28" s="3" t="s">
        <v>79</v>
      </c>
    </row>
    <row r="29" spans="1:4" x14ac:dyDescent="0.25">
      <c r="D29" s="3" t="s">
        <v>82</v>
      </c>
    </row>
    <row r="30" spans="1:4" x14ac:dyDescent="0.25">
      <c r="D30" s="3" t="s">
        <v>83</v>
      </c>
    </row>
    <row r="31" spans="1:4" x14ac:dyDescent="0.25">
      <c r="D31" s="3" t="s">
        <v>84</v>
      </c>
    </row>
    <row r="32" spans="1:4" x14ac:dyDescent="0.25">
      <c r="D32" s="3" t="s">
        <v>87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0"/>
  <sheetViews>
    <sheetView workbookViewId="0">
      <selection activeCell="AH1" sqref="AH1:AH1048576"/>
    </sheetView>
  </sheetViews>
  <sheetFormatPr defaultRowHeight="15" x14ac:dyDescent="0.25"/>
  <cols>
    <col min="6" max="6" width="18.42578125" bestFit="1" customWidth="1"/>
  </cols>
  <sheetData>
    <row r="1" spans="1:15" x14ac:dyDescent="0.25">
      <c r="E1" t="s">
        <v>40</v>
      </c>
      <c r="H1" t="s">
        <v>41</v>
      </c>
      <c r="K1" t="s">
        <v>42</v>
      </c>
      <c r="N1" t="s">
        <v>43</v>
      </c>
    </row>
    <row r="2" spans="1:15" x14ac:dyDescent="0.25">
      <c r="A2" t="s">
        <v>88</v>
      </c>
      <c r="B2">
        <v>0</v>
      </c>
      <c r="C2" t="s">
        <v>88</v>
      </c>
      <c r="E2">
        <v>0</v>
      </c>
      <c r="F2" t="s">
        <v>88</v>
      </c>
      <c r="H2">
        <v>0</v>
      </c>
      <c r="I2" t="s">
        <v>88</v>
      </c>
      <c r="K2">
        <v>0</v>
      </c>
      <c r="L2" t="s">
        <v>88</v>
      </c>
      <c r="N2">
        <v>0</v>
      </c>
      <c r="O2" t="s">
        <v>88</v>
      </c>
    </row>
    <row r="3" spans="1:15" x14ac:dyDescent="0.25">
      <c r="A3" t="s">
        <v>89</v>
      </c>
      <c r="B3">
        <v>2</v>
      </c>
      <c r="C3" t="s">
        <v>89</v>
      </c>
      <c r="E3">
        <v>24</v>
      </c>
      <c r="F3" t="s">
        <v>93</v>
      </c>
      <c r="H3">
        <v>48</v>
      </c>
      <c r="I3" t="s">
        <v>93</v>
      </c>
      <c r="K3">
        <v>72</v>
      </c>
      <c r="L3" t="s">
        <v>93</v>
      </c>
      <c r="N3">
        <v>96</v>
      </c>
      <c r="O3" t="s">
        <v>93</v>
      </c>
    </row>
    <row r="4" spans="1:15" x14ac:dyDescent="0.25">
      <c r="A4" t="s">
        <v>90</v>
      </c>
      <c r="B4">
        <v>4</v>
      </c>
      <c r="C4" t="s">
        <v>90</v>
      </c>
      <c r="E4">
        <v>48</v>
      </c>
      <c r="F4" t="s">
        <v>101</v>
      </c>
      <c r="H4">
        <v>96</v>
      </c>
      <c r="I4" t="s">
        <v>94</v>
      </c>
      <c r="K4">
        <v>144</v>
      </c>
      <c r="L4" t="s">
        <v>94</v>
      </c>
      <c r="N4">
        <v>192</v>
      </c>
      <c r="O4" t="s">
        <v>94</v>
      </c>
    </row>
    <row r="5" spans="1:15" x14ac:dyDescent="0.25">
      <c r="A5" t="s">
        <v>91</v>
      </c>
      <c r="B5">
        <v>6</v>
      </c>
      <c r="C5" t="s">
        <v>91</v>
      </c>
      <c r="E5">
        <v>66</v>
      </c>
      <c r="F5" t="s">
        <v>102</v>
      </c>
      <c r="H5">
        <v>114</v>
      </c>
      <c r="I5" t="s">
        <v>95</v>
      </c>
      <c r="K5">
        <v>174</v>
      </c>
      <c r="L5" t="s">
        <v>95</v>
      </c>
      <c r="N5">
        <v>234</v>
      </c>
      <c r="O5" t="s">
        <v>95</v>
      </c>
    </row>
    <row r="6" spans="1:15" x14ac:dyDescent="0.25">
      <c r="A6" t="s">
        <v>92</v>
      </c>
      <c r="B6">
        <v>8</v>
      </c>
      <c r="C6" t="s">
        <v>92</v>
      </c>
      <c r="E6">
        <v>84</v>
      </c>
      <c r="F6" t="s">
        <v>103</v>
      </c>
      <c r="H6">
        <v>132</v>
      </c>
      <c r="I6" t="s">
        <v>96</v>
      </c>
      <c r="K6">
        <v>204</v>
      </c>
      <c r="L6" t="s">
        <v>96</v>
      </c>
      <c r="N6">
        <v>276</v>
      </c>
      <c r="O6" t="s">
        <v>96</v>
      </c>
    </row>
    <row r="7" spans="1:15" x14ac:dyDescent="0.25">
      <c r="E7">
        <v>90</v>
      </c>
      <c r="F7" t="s">
        <v>104</v>
      </c>
      <c r="H7">
        <v>150</v>
      </c>
      <c r="I7" t="s">
        <v>97</v>
      </c>
      <c r="K7">
        <v>234</v>
      </c>
      <c r="L7" t="s">
        <v>97</v>
      </c>
      <c r="N7">
        <v>318</v>
      </c>
      <c r="O7" t="s">
        <v>97</v>
      </c>
    </row>
    <row r="8" spans="1:15" x14ac:dyDescent="0.25">
      <c r="H8">
        <v>168</v>
      </c>
      <c r="I8" t="s">
        <v>98</v>
      </c>
      <c r="K8">
        <v>264</v>
      </c>
      <c r="L8" t="s">
        <v>98</v>
      </c>
      <c r="N8">
        <v>360</v>
      </c>
      <c r="O8" t="s">
        <v>98</v>
      </c>
    </row>
    <row r="9" spans="1:15" x14ac:dyDescent="0.25">
      <c r="H9">
        <v>174</v>
      </c>
      <c r="I9" t="s">
        <v>99</v>
      </c>
      <c r="K9">
        <v>270</v>
      </c>
      <c r="L9" t="s">
        <v>99</v>
      </c>
      <c r="N9">
        <v>366</v>
      </c>
      <c r="O9" t="s">
        <v>99</v>
      </c>
    </row>
    <row r="10" spans="1:15" x14ac:dyDescent="0.25">
      <c r="H10">
        <v>180</v>
      </c>
      <c r="I10" t="s">
        <v>100</v>
      </c>
      <c r="K10">
        <v>276</v>
      </c>
      <c r="L10" t="s">
        <v>100</v>
      </c>
      <c r="N10">
        <v>372</v>
      </c>
      <c r="O10" t="s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241</vt:i4>
      </vt:variant>
    </vt:vector>
  </HeadingPairs>
  <TitlesOfParts>
    <vt:vector size="256" baseType="lpstr">
      <vt:lpstr>Start</vt:lpstr>
      <vt:lpstr>Award</vt:lpstr>
      <vt:lpstr>Cert</vt:lpstr>
      <vt:lpstr>Ext Cert</vt:lpstr>
      <vt:lpstr>Diploma</vt:lpstr>
      <vt:lpstr>Award Data Sheet</vt:lpstr>
      <vt:lpstr>Award Dropdown</vt:lpstr>
      <vt:lpstr>Cert Data Sheet</vt:lpstr>
      <vt:lpstr>Cert Dropdown</vt:lpstr>
      <vt:lpstr>Diploma Data Sheet</vt:lpstr>
      <vt:lpstr>Diploma Dropdown</vt:lpstr>
      <vt:lpstr>Ext Cert Data Sheet</vt:lpstr>
      <vt:lpstr>Ext Cert Dropdown</vt:lpstr>
      <vt:lpstr>Sectors</vt:lpstr>
      <vt:lpstr>Points</vt:lpstr>
      <vt:lpstr>Applied_Science_D_col_Group_A</vt:lpstr>
      <vt:lpstr>Applied_Science_D_units_Group_A</vt:lpstr>
      <vt:lpstr>Applied_Science_EC_col_Group_A</vt:lpstr>
      <vt:lpstr>Applied_Science_EC_units_Group_A</vt:lpstr>
      <vt:lpstr>Art_and_Design_A_col_Group_A</vt:lpstr>
      <vt:lpstr>Art_and_Design_A_units_Group_A</vt:lpstr>
      <vt:lpstr>Art_and_Design_C_col_Group_A</vt:lpstr>
      <vt:lpstr>Art_and_Design_C_units_Group_A</vt:lpstr>
      <vt:lpstr>Art_and_Design_D_col_Group_A</vt:lpstr>
      <vt:lpstr>Art_and_Design_D_units_Group_A</vt:lpstr>
      <vt:lpstr>Art_and_Design_Design_Crafts_C_col_Group_A</vt:lpstr>
      <vt:lpstr>Art_and_Design_Design_Crafts_C_units_Group_A</vt:lpstr>
      <vt:lpstr>Art_and_Design_Design_Crafts_D_col_Group_A</vt:lpstr>
      <vt:lpstr>Art_and_Design_Design_Crafts_D_units_Group_A</vt:lpstr>
      <vt:lpstr>Art_and_Design_Design_Crafts_EC_col_Group_A</vt:lpstr>
      <vt:lpstr>Art_and_Design_Design_Crafts_EC_units_Group_A</vt:lpstr>
      <vt:lpstr>Art_and_Design_EC_col_Group_A</vt:lpstr>
      <vt:lpstr>Art_and_Design_EC_units_Group_A</vt:lpstr>
      <vt:lpstr>Art_and_Design_Fashion_and_Textiles_D_col_Group_A</vt:lpstr>
      <vt:lpstr>Art_and_Design_Fashion_and_Textiles_D_units_Group_A</vt:lpstr>
      <vt:lpstr>Art_and_Design_Fashion_and_Textiles_EC_col_Group_A</vt:lpstr>
      <vt:lpstr>Art_and_Design_Fashion_and_Textiles_EC_units_Group_A</vt:lpstr>
      <vt:lpstr>Art_and_Design_Photography_C_col_Group_A</vt:lpstr>
      <vt:lpstr>Art_and_Design_Photography_C_units_Group_A</vt:lpstr>
      <vt:lpstr>Art_and_Design_Photography_D_col_Group_A</vt:lpstr>
      <vt:lpstr>Art_and_Design_Photography_D_units_Group_A</vt:lpstr>
      <vt:lpstr>Art_and_Design_Photography_EC_col_Group_A</vt:lpstr>
      <vt:lpstr>Art_and_Design_Photography_EC_units_Group_A</vt:lpstr>
      <vt:lpstr>Art_and_Design_Product_Design_C_col_Group_A</vt:lpstr>
      <vt:lpstr>Art_and_Design_Product_Design_C_units_Group_A</vt:lpstr>
      <vt:lpstr>Art_and_Design_Product_Design_D_col_Group_A</vt:lpstr>
      <vt:lpstr>Art_and_Design_Product_Design_D_units_Group_A</vt:lpstr>
      <vt:lpstr>Art_and_Design_Product_Design_EC_col_Group_A</vt:lpstr>
      <vt:lpstr>Art_and_Design_Product_Design_EC_units_Group_A</vt:lpstr>
      <vt:lpstr>Art_and_Design_Visual_Arts_C_col_Group_A</vt:lpstr>
      <vt:lpstr>Art_and_Design_Visual_Arts_C_units_Group_A</vt:lpstr>
      <vt:lpstr>Art_and_Design_Visual_Arts_D_col_Group_A</vt:lpstr>
      <vt:lpstr>Art_and_Design_Visual_Arts_D_units_Group_A</vt:lpstr>
      <vt:lpstr>Art_and_Design_Visual_Arts_EC_col_Group_A</vt:lpstr>
      <vt:lpstr>Art_and_Design_Visual_Arts_EC_units_Group_A</vt:lpstr>
      <vt:lpstr>Art_and_Design_Visual_Communication_C_col_Group_A</vt:lpstr>
      <vt:lpstr>Art_and_Design_Visual_Communication_C_units_Group_A</vt:lpstr>
      <vt:lpstr>Art_and_Design_Visual_Communication_D_col_Group_A</vt:lpstr>
      <vt:lpstr>Art_and_Design_Visual_Communication_D_units_Group_A</vt:lpstr>
      <vt:lpstr>Art_and_Design_Visual_Communication_EC_col_Group_A</vt:lpstr>
      <vt:lpstr>Art_and_Design_Visual_Communication_EC_units_Group_A</vt:lpstr>
      <vt:lpstr>AwardSector</vt:lpstr>
      <vt:lpstr>Business_2012_A_col_Group_A</vt:lpstr>
      <vt:lpstr>Business_2012_A_units_Group_A</vt:lpstr>
      <vt:lpstr>Business_2018_A_col_Group_A</vt:lpstr>
      <vt:lpstr>Business_2018_A_units_Group_A</vt:lpstr>
      <vt:lpstr>Business_C_col_Group_A</vt:lpstr>
      <vt:lpstr>Business_C_units_Group_A</vt:lpstr>
      <vt:lpstr>Business_D_col_Group_A</vt:lpstr>
      <vt:lpstr>Business_D_units_Group_A</vt:lpstr>
      <vt:lpstr>Business_EC_col_Group_A</vt:lpstr>
      <vt:lpstr>Business_EC_units_Group_A</vt:lpstr>
      <vt:lpstr>CertSector</vt:lpstr>
      <vt:lpstr>Construction_and_the_Built_Environment_2013_A_col_Group_A</vt:lpstr>
      <vt:lpstr>Construction_and_the_Built_Environment_2013_A_units_Group_A</vt:lpstr>
      <vt:lpstr>Construction_and_the_Built_Environment_2018_A_col_Group_A</vt:lpstr>
      <vt:lpstr>Construction_and_the_Built_Environment_2018_A_units_Group_A</vt:lpstr>
      <vt:lpstr>Construction_and_the_Built_Environment_C_col_Group_A</vt:lpstr>
      <vt:lpstr>Construction_and_the_Built_Environment_C_units_Group_A</vt:lpstr>
      <vt:lpstr>Construction_and_the_Built_Environment_D_col_Group_A</vt:lpstr>
      <vt:lpstr>Construction_and_the_Built_Environment_D_units_Group_A</vt:lpstr>
      <vt:lpstr>Construction_and_the_Built_Environment_EC_col_Group_A</vt:lpstr>
      <vt:lpstr>Construction_and_the_Built_Environment_EC_units_Group_A</vt:lpstr>
      <vt:lpstr>CPLD_C_col_Group_A</vt:lpstr>
      <vt:lpstr>CPLD_C_units_Group_A</vt:lpstr>
      <vt:lpstr>Creative_Digital_Media_Production_A_col_Group_A</vt:lpstr>
      <vt:lpstr>Creative_Digital_Media_Production_A_units_Group_A</vt:lpstr>
      <vt:lpstr>Creative_Digital_Media_Production_C_col_Group_A</vt:lpstr>
      <vt:lpstr>Creative_Digital_Media_Production_C_col_Group_B</vt:lpstr>
      <vt:lpstr>Creative_Digital_Media_Production_C_units_Group_A</vt:lpstr>
      <vt:lpstr>Creative_Digital_Media_Production_C_units_Group_B</vt:lpstr>
      <vt:lpstr>Creative_Digital_Media_Production_D_col_Group_A</vt:lpstr>
      <vt:lpstr>Creative_Digital_Media_Production_D_units_Group_A</vt:lpstr>
      <vt:lpstr>Creative_Digital_Media_Production_EC_col_Group_A</vt:lpstr>
      <vt:lpstr>Creative_Digital_Media_Production_EC_col_Group_B</vt:lpstr>
      <vt:lpstr>Creative_Digital_Media_Production_EC_units_Group_A</vt:lpstr>
      <vt:lpstr>Creative_Digital_Media_Production_EC_units_Group_B</vt:lpstr>
      <vt:lpstr>DiplomaSector</vt:lpstr>
      <vt:lpstr>Engineering_A_col_Group_A</vt:lpstr>
      <vt:lpstr>Engineering_A_units_Group_A</vt:lpstr>
      <vt:lpstr>Engineering_C_col_Group_A</vt:lpstr>
      <vt:lpstr>Engineering_C_units_Group_A</vt:lpstr>
      <vt:lpstr>Engineering_D_col_Group_A</vt:lpstr>
      <vt:lpstr>Engineering_D_col_Group_B</vt:lpstr>
      <vt:lpstr>Engineering_D_units_Group_A</vt:lpstr>
      <vt:lpstr>Engineering_D_units_Group_B</vt:lpstr>
      <vt:lpstr>Engineering_EC_col_Group_A</vt:lpstr>
      <vt:lpstr>Engineering_EC_units_Group_A</vt:lpstr>
      <vt:lpstr>Engineering_Maintenance_D_col_Group_A</vt:lpstr>
      <vt:lpstr>Engineering_Maintenance_D_col_Group_B</vt:lpstr>
      <vt:lpstr>Engineering_Maintenance_D_units_Group_A</vt:lpstr>
      <vt:lpstr>Engineering_Maintenance_D_units_Group_B</vt:lpstr>
      <vt:lpstr>Engineering_Manufacturing_D_col_Group_A</vt:lpstr>
      <vt:lpstr>Engineering_Manufacturing_D_col_Group_B</vt:lpstr>
      <vt:lpstr>Engineering_Manufacturing_D_units_Group_A</vt:lpstr>
      <vt:lpstr>Engineering_Manufacturing_D_units_Group_B</vt:lpstr>
      <vt:lpstr>Engineering_Mechanical_D_col_Group_A</vt:lpstr>
      <vt:lpstr>Engineering_Mechanical_D_col_Group_B</vt:lpstr>
      <vt:lpstr>Engineering_Mechanical_D_units_Group_A</vt:lpstr>
      <vt:lpstr>Engineering_Mechanical_D_units_Group_B</vt:lpstr>
      <vt:lpstr>Engineering_Technology_D_col_Group_A</vt:lpstr>
      <vt:lpstr>Engineering_Technology_D_col_Group_B</vt:lpstr>
      <vt:lpstr>Engineering_Technology_D_units_Group_A</vt:lpstr>
      <vt:lpstr>Engineering_Technology_D_units_Group_B</vt:lpstr>
      <vt:lpstr>Equine_Studies_A_col_Group_A</vt:lpstr>
      <vt:lpstr>Equine_Studies_A_units_Group_A</vt:lpstr>
      <vt:lpstr>ExtCertSector</vt:lpstr>
      <vt:lpstr>Health_and_Social_Care_A_col_Group_A</vt:lpstr>
      <vt:lpstr>Health_and_Social_Care_A_units_Group_A</vt:lpstr>
      <vt:lpstr>Health_and_Social_Care_C_col_Group_A</vt:lpstr>
      <vt:lpstr>Health_and_Social_Care_C_units_Group_A</vt:lpstr>
      <vt:lpstr>Health_and_Social_Care_D_col_Group_A</vt:lpstr>
      <vt:lpstr>Health_and_Social_Care_D_col_Group_B</vt:lpstr>
      <vt:lpstr>Health_and_Social_Care_D_units_Group_A</vt:lpstr>
      <vt:lpstr>Health_and_Social_Care_D_units_Group_B</vt:lpstr>
      <vt:lpstr>Health_and_Social_Care_EC_col_Group_A</vt:lpstr>
      <vt:lpstr>Health_and_Social_Care_EC_units_Group_A</vt:lpstr>
      <vt:lpstr>Hospitality_A_col_Group_A</vt:lpstr>
      <vt:lpstr>Hospitality_A_units_Group_A</vt:lpstr>
      <vt:lpstr>Hospitality_C_col_Group_A</vt:lpstr>
      <vt:lpstr>Hospitality_C_units_Group_A</vt:lpstr>
      <vt:lpstr>Hospitality_D_col_Group_A</vt:lpstr>
      <vt:lpstr>Hospitality_D_units_Group_A</vt:lpstr>
      <vt:lpstr>Hospitality_EC_col_Group_A</vt:lpstr>
      <vt:lpstr>Hospitality_EC_units_Group_A</vt:lpstr>
      <vt:lpstr>Information_and_Creative_Technology_A_col_Group_A</vt:lpstr>
      <vt:lpstr>Information_and_Creative_Technology_A_units_Group_A</vt:lpstr>
      <vt:lpstr>Information_and_Creative_Technology_C_col_Group_A</vt:lpstr>
      <vt:lpstr>Information_and_Creative_Technology_C_units_Group_A</vt:lpstr>
      <vt:lpstr>Information_and_Creative_Technology_Computer_Science_D_col_Group_A</vt:lpstr>
      <vt:lpstr>Information_and_Creative_Technology_Computer_Science_D_units_Group_A</vt:lpstr>
      <vt:lpstr>Information_and_Creative_Technology_D_col_Group_A</vt:lpstr>
      <vt:lpstr>Information_and_Creative_Technology_D_col_Group_B</vt:lpstr>
      <vt:lpstr>Information_and_Creative_Technology_D_units_Group_A</vt:lpstr>
      <vt:lpstr>Information_and_Creative_Technology_D_units_Group_B</vt:lpstr>
      <vt:lpstr>Information_and_Creative_Technology_EC_col_Group_A</vt:lpstr>
      <vt:lpstr>Information_and_Creative_Technology_EC_units_Group_A</vt:lpstr>
      <vt:lpstr>Information_and_Creative_Technology_Systems_Development_and_Support_D_col_Group_A</vt:lpstr>
      <vt:lpstr>Information_and_Creative_Technology_Systems_Development_and_Support_D_units_Group_A</vt:lpstr>
      <vt:lpstr>Music_A_col_Group_A</vt:lpstr>
      <vt:lpstr>Music_A_units_Group_A</vt:lpstr>
      <vt:lpstr>Music_C_col_Group_A</vt:lpstr>
      <vt:lpstr>Music_C_units_Group_A</vt:lpstr>
      <vt:lpstr>Music_D_col_Group_A</vt:lpstr>
      <vt:lpstr>Music_D_units_Group_A</vt:lpstr>
      <vt:lpstr>Music_EC_col_Group_A</vt:lpstr>
      <vt:lpstr>Music_EC_units_Group_A</vt:lpstr>
      <vt:lpstr>Performing_Arts_A_col_Group_A</vt:lpstr>
      <vt:lpstr>Performing_Arts_A_units_Group_A</vt:lpstr>
      <vt:lpstr>Performing_Arts_Acting_C_col_Group_A</vt:lpstr>
      <vt:lpstr>Performing_Arts_Acting_C_col_Group_B</vt:lpstr>
      <vt:lpstr>Performing_Arts_Acting_C_units_Group_A</vt:lpstr>
      <vt:lpstr>Performing_Arts_Acting_C_units_Group_B</vt:lpstr>
      <vt:lpstr>Performing_Arts_Acting_D_col_Group_A</vt:lpstr>
      <vt:lpstr>Performing_Arts_Acting_D_col_Group_B</vt:lpstr>
      <vt:lpstr>Performing_Arts_Acting_D_units_Group_A</vt:lpstr>
      <vt:lpstr>Performing_Arts_Acting_D_units_Group_B</vt:lpstr>
      <vt:lpstr>Performing_Arts_Acting_EC_col_Group_A</vt:lpstr>
      <vt:lpstr>Performing_Arts_Acting_EC_col_Group_B</vt:lpstr>
      <vt:lpstr>Performing_Arts_Acting_EC_units_Group_A</vt:lpstr>
      <vt:lpstr>Performing_Arts_Acting_EC_units_Group_B</vt:lpstr>
      <vt:lpstr>Performing_Arts_D_col_Group_A</vt:lpstr>
      <vt:lpstr>Performing_Arts_D_col_Group_B</vt:lpstr>
      <vt:lpstr>Performing_Arts_D_units_Group_A</vt:lpstr>
      <vt:lpstr>Performing_Arts_D_units_Group_B</vt:lpstr>
      <vt:lpstr>Performing_Arts_Dance_C_col_Group_A</vt:lpstr>
      <vt:lpstr>Performing_Arts_Dance_C_col_Group_B</vt:lpstr>
      <vt:lpstr>Performing_Arts_Dance_C_units_Group_A</vt:lpstr>
      <vt:lpstr>Performing_Arts_Dance_C_units_Group_B</vt:lpstr>
      <vt:lpstr>Performing_Arts_Dance_D_col_Group_A</vt:lpstr>
      <vt:lpstr>Performing_Arts_Dance_D_col_Group_B</vt:lpstr>
      <vt:lpstr>Performing_Arts_Dance_D_units_Group_A</vt:lpstr>
      <vt:lpstr>Performing_Arts_Dance_D_units_Group_B</vt:lpstr>
      <vt:lpstr>Performing_Arts_Dance_EC_col_Group_A</vt:lpstr>
      <vt:lpstr>Performing_Arts_Dance_EC_col_Group_B</vt:lpstr>
      <vt:lpstr>Performing_Arts_Dance_EC_units_Group_A</vt:lpstr>
      <vt:lpstr>Performing_Arts_Dance_EC_units_Group_B</vt:lpstr>
      <vt:lpstr>Performing_Arts_EC_col_Group_A</vt:lpstr>
      <vt:lpstr>Performing_Arts_EC_col_Group_B</vt:lpstr>
      <vt:lpstr>Performing_Arts_EC_units_Group_A</vt:lpstr>
      <vt:lpstr>Performing_Arts_EC_units_Group_B</vt:lpstr>
      <vt:lpstr>Performing_Arts_Musical_Theatre_C_col_Group_A</vt:lpstr>
      <vt:lpstr>Performing_Arts_Musical_Theatre_C_col_Group_B</vt:lpstr>
      <vt:lpstr>Performing_Arts_Musical_Theatre_C_units_Group_A</vt:lpstr>
      <vt:lpstr>Performing_Arts_Musical_Theatre_C_units_Group_B</vt:lpstr>
      <vt:lpstr>Performing_Arts_Production_C_col_Group_A</vt:lpstr>
      <vt:lpstr>Performing_Arts_Production_C_col_Group_B</vt:lpstr>
      <vt:lpstr>Performing_Arts_Production_C_units_Group_A</vt:lpstr>
      <vt:lpstr>Performing_Arts_Production_C_units_Group_B</vt:lpstr>
      <vt:lpstr>Performing_Arts_Production_D_col_Group_A</vt:lpstr>
      <vt:lpstr>Performing_Arts_Production_D_col_Group_B</vt:lpstr>
      <vt:lpstr>Performing_Arts_Production_D_units_Group_A</vt:lpstr>
      <vt:lpstr>Performing_Arts_Production_D_units_Group_B</vt:lpstr>
      <vt:lpstr>Performing_Arts_Production_EC_col_Group_A</vt:lpstr>
      <vt:lpstr>Performing_Arts_Production_EC_col_Group_B</vt:lpstr>
      <vt:lpstr>Performing_Arts_Production_EC_units_Group_A</vt:lpstr>
      <vt:lpstr>Performing_Arts_Production_EC_units_Group_B</vt:lpstr>
      <vt:lpstr>Public_Services_A_col_Group_A</vt:lpstr>
      <vt:lpstr>Public_Services_A_units_Group_A</vt:lpstr>
      <vt:lpstr>Public_Services_C_col_Group_A</vt:lpstr>
      <vt:lpstr>Public_Services_C_units_Group_A</vt:lpstr>
      <vt:lpstr>Public_Services_D_col_Group_A</vt:lpstr>
      <vt:lpstr>Public_Services_D_units_Group_A</vt:lpstr>
      <vt:lpstr>Public_Services_EC_col_Group_A</vt:lpstr>
      <vt:lpstr>Public_Services_EC_units_Group_A</vt:lpstr>
      <vt:lpstr>Sport_2012_A_col_Group_A</vt:lpstr>
      <vt:lpstr>Sport_2012_A_units_Group_A</vt:lpstr>
      <vt:lpstr>Sport_2018_A_col_Group_A</vt:lpstr>
      <vt:lpstr>Sport_2018_A_units_Group_A</vt:lpstr>
      <vt:lpstr>Sport_C_col_Group_A</vt:lpstr>
      <vt:lpstr>Sport_C_units_Group_A</vt:lpstr>
      <vt:lpstr>Sport_D_col_Group_A</vt:lpstr>
      <vt:lpstr>Sport_D_col_Group_B</vt:lpstr>
      <vt:lpstr>Sport_D_units_Group_A</vt:lpstr>
      <vt:lpstr>Sport_D_units_Group_B</vt:lpstr>
      <vt:lpstr>Sport_EC_col_Group_A</vt:lpstr>
      <vt:lpstr>Sport_EC_units_Group_A</vt:lpstr>
      <vt:lpstr>Sport_Fitness_and_Exercise_D_col_Group_A</vt:lpstr>
      <vt:lpstr>Sport_Fitness_and_Exercise_D_col_Group_B</vt:lpstr>
      <vt:lpstr>Sport_Fitness_and_Exercise_D_units_Group_A</vt:lpstr>
      <vt:lpstr>Sport_Fitness_and_Exercise_D_units_Group_B</vt:lpstr>
      <vt:lpstr>Sport_Outdoor_and_Adventurous_Activities_D_col_Group_A</vt:lpstr>
      <vt:lpstr>Sport_Outdoor_and_Adventurous_Activities_D_col_Group_B</vt:lpstr>
      <vt:lpstr>Sport_Outdoor_and_Adventurous_Activities_D_units_Group_A</vt:lpstr>
      <vt:lpstr>Sport_Outdoor_and_Adventurous_Activities_D_units_Group_B</vt:lpstr>
      <vt:lpstr>Travel_and_Tourism_2013_A_col_Group_A</vt:lpstr>
      <vt:lpstr>Travel_and_Tourism_2013_A_units_Group_A</vt:lpstr>
      <vt:lpstr>Travel_and_Tourism_2018_A_col_Group_A</vt:lpstr>
      <vt:lpstr>Travel_and_Tourism_2018_A_units_Group_A</vt:lpstr>
      <vt:lpstr>Travel_and_Tourism_C_col_Group_A</vt:lpstr>
      <vt:lpstr>Travel_and_Tourism_C_units_Group_A</vt:lpstr>
      <vt:lpstr>Travel_and_Tourism_D_col_Group_A</vt:lpstr>
      <vt:lpstr>Travel_and_Tourism_D_units_Group_A</vt:lpstr>
      <vt:lpstr>Travel_and_Tourism_EC_col_Group_A</vt:lpstr>
      <vt:lpstr>Travel_and_Tourism_EC_units_Group_A</vt:lpstr>
      <vt:lpstr>UnitGrade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Hole, Jeffery</dc:creator>
  <cp:lastModifiedBy>Hole, Jeffery</cp:lastModifiedBy>
  <dcterms:created xsi:type="dcterms:W3CDTF">2018-10-24T12:50:41Z</dcterms:created>
  <dcterms:modified xsi:type="dcterms:W3CDTF">2019-07-15T09:41:25Z</dcterms:modified>
</cp:coreProperties>
</file>